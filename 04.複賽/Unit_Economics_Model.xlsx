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假設參數" sheetId="1" state="visible" r:id="rId1"/>
    <sheet xmlns:r="http://schemas.openxmlformats.org/officeDocument/2006/relationships" name="單位經濟" sheetId="2" state="visible" r:id="rId2"/>
    <sheet xmlns:r="http://schemas.openxmlformats.org/officeDocument/2006/relationships" name="三年財務預測" sheetId="3" state="visible" r:id="rId3"/>
    <sheet xmlns:r="http://schemas.openxmlformats.org/officeDocument/2006/relationships" name="12個月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0.0"/>
    <numFmt numFmtId="166" formatCode="&quot;NT$&quot;#,##0"/>
    <numFmt numFmtId="167" formatCode="+0%"/>
    <numFmt numFmtId="168" formatCode="#,##0;(#,##0);&quot;-&quot;"/>
    <numFmt numFmtId="169" formatCode="+0%;-0%"/>
    <numFmt numFmtId="170" formatCode="#,##0;(#,##0)"/>
  </numFmts>
  <fonts count="12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color rgb="002E75B6"/>
      <sz val="13"/>
    </font>
    <font>
      <name val="Arial"/>
      <b val="1"/>
      <color rgb="00FFFFFF"/>
      <sz val="10"/>
    </font>
    <font>
      <name val="Arial"/>
      <color rgb="00404040"/>
      <sz val="10"/>
    </font>
    <font>
      <name val="Arial"/>
      <color rgb="000000FF"/>
      <sz val="10"/>
    </font>
    <font>
      <name val="Arial"/>
      <i val="1"/>
      <color rgb="00808080"/>
      <sz val="9"/>
    </font>
    <font>
      <name val="Arial"/>
      <color rgb="00000000"/>
      <sz val="10"/>
    </font>
    <font>
      <name val="Arial"/>
      <b val="1"/>
      <sz val="10"/>
    </font>
    <font>
      <name val="Arial"/>
      <color rgb="00008000"/>
      <sz val="10"/>
    </font>
    <font>
      <name val="Arial"/>
      <b val="1"/>
      <color rgb="001F4E79"/>
      <sz val="11"/>
    </font>
    <font>
      <name val="Arial"/>
      <b val="1"/>
      <color rgb="00008000"/>
      <sz val="10"/>
    </font>
  </fonts>
  <fills count="9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0" fontId="4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0" fontId="6" fillId="0" borderId="0" pivotButton="0" quotePrefix="0" xfId="0"/>
    <xf numFmtId="3" fontId="8" fillId="0" borderId="1" applyAlignment="1" pivotButton="0" quotePrefix="0" xfId="0">
      <alignment horizontal="right" vertical="center"/>
    </xf>
    <xf numFmtId="1" fontId="5" fillId="4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1" fontId="8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6" fontId="9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0" fontId="11" fillId="0" borderId="0" pivotButton="0" quotePrefix="0" xfId="0"/>
    <xf numFmtId="165" fontId="9" fillId="0" borderId="1" applyAlignment="1" pivotButton="0" quotePrefix="0" xfId="0">
      <alignment horizontal="right" vertical="center"/>
    </xf>
    <xf numFmtId="1" fontId="9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6" fontId="10" fillId="5" borderId="1" applyAlignment="1" pivotButton="0" quotePrefix="0" xfId="0">
      <alignment horizontal="right" vertical="center"/>
    </xf>
    <xf numFmtId="0" fontId="6" fillId="5" borderId="0" pivotButton="0" quotePrefix="0" xfId="0"/>
    <xf numFmtId="165" fontId="10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0" fontId="8" fillId="6" borderId="0" pivotButton="0" quotePrefix="0" xfId="0"/>
    <xf numFmtId="1" fontId="5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165" fontId="7" fillId="6" borderId="0" pivotButton="0" quotePrefix="0" xfId="0"/>
    <xf numFmtId="0" fontId="8" fillId="7" borderId="0" pivotButton="0" quotePrefix="0" xfId="0"/>
    <xf numFmtId="1" fontId="7" fillId="7" borderId="1" applyAlignment="1" pivotButton="0" quotePrefix="0" xfId="0">
      <alignment horizontal="right" vertical="center"/>
    </xf>
    <xf numFmtId="3" fontId="7" fillId="7" borderId="1" applyAlignment="1" pivotButton="0" quotePrefix="0" xfId="0">
      <alignment horizontal="right" vertical="center"/>
    </xf>
    <xf numFmtId="165" fontId="7" fillId="7" borderId="0" pivotButton="0" quotePrefix="0" xfId="0"/>
    <xf numFmtId="0" fontId="8" fillId="8" borderId="0" pivotButton="0" quotePrefix="0" xfId="0"/>
    <xf numFmtId="1" fontId="5" fillId="8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165" fontId="7" fillId="8" borderId="0" pivotButton="0" quotePrefix="0" xfId="0"/>
    <xf numFmtId="3" fontId="9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3" fontId="7" fillId="0" borderId="1" pivotButton="0" quotePrefix="0" xfId="0"/>
    <xf numFmtId="3" fontId="10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167" fontId="7" fillId="0" borderId="1" pivotButton="0" quotePrefix="0" xfId="0"/>
    <xf numFmtId="168" fontId="10" fillId="0" borderId="1" applyAlignment="1" pivotButton="0" quotePrefix="0" xfId="0">
      <alignment horizontal="right" vertical="center"/>
    </xf>
    <xf numFmtId="169" fontId="7" fillId="0" borderId="1" applyAlignment="1" pivotButton="0" quotePrefix="0" xfId="0">
      <alignment horizontal="right" vertical="center"/>
    </xf>
    <xf numFmtId="170" fontId="7" fillId="0" borderId="1" applyAlignment="1" pivotButton="0" quotePrefix="0" xfId="0">
      <alignment horizontal="right" vertical="center"/>
    </xf>
    <xf numFmtId="170" fontId="10" fillId="0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0" fontId="8" fillId="0" borderId="1" applyAlignment="1" pivotButton="0" quotePrefix="0" xfId="0">
      <alignment horizontal="righ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B1:E4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14" customWidth="1" min="4" max="4"/>
    <col width="40" customWidth="1" min="5" max="5"/>
  </cols>
  <sheetData>
    <row r="1">
      <c r="B1" s="1" t="inlineStr">
        <is>
          <t>Mathify Labs — 假設參數儀表板</t>
        </is>
      </c>
    </row>
    <row r="3">
      <c r="B3" s="2" t="inlineStr">
        <is>
          <t>定價與營收假設</t>
        </is>
      </c>
      <c r="C3" s="3" t="n"/>
      <c r="D3" s="3" t="n"/>
      <c r="E3" s="3" t="n"/>
    </row>
    <row r="4">
      <c r="B4" s="4" t="inlineStr">
        <is>
          <t>參數</t>
        </is>
      </c>
      <c r="C4" s="4" t="inlineStr">
        <is>
          <t>數值</t>
        </is>
      </c>
      <c r="D4" s="4" t="inlineStr">
        <is>
          <t>單位</t>
        </is>
      </c>
      <c r="E4" s="4" t="inlineStr">
        <is>
          <t>說明</t>
        </is>
      </c>
    </row>
    <row r="5">
      <c r="B5" s="5" t="inlineStr">
        <is>
          <t>月費</t>
        </is>
      </c>
      <c r="C5" s="6" t="n">
        <v>600</v>
      </c>
      <c r="D5" s="7" t="inlineStr">
        <is>
          <t>NT$/月</t>
        </is>
      </c>
      <c r="E5" s="8" t="inlineStr">
        <is>
          <t>付費用戶每月訂閱費</t>
        </is>
      </c>
    </row>
    <row r="6">
      <c r="B6" s="5" t="inlineStr">
        <is>
          <t>年繳折扣</t>
        </is>
      </c>
      <c r="C6" s="9" t="n">
        <v>0.83</v>
      </c>
      <c r="D6" s="7" t="inlineStr"/>
      <c r="E6" s="8" t="inlineStr">
        <is>
          <t>年繳方案為月費 × 10（83折）</t>
        </is>
      </c>
    </row>
    <row r="7">
      <c r="B7" s="5" t="inlineStr">
        <is>
          <t>年繳用戶占比</t>
        </is>
      </c>
      <c r="C7" s="9" t="n">
        <v>0</v>
      </c>
      <c r="D7" s="7" t="inlineStr"/>
      <c r="E7" s="8" t="inlineStr">
        <is>
          <t>目前假設 0%，可調整</t>
        </is>
      </c>
    </row>
    <row r="8">
      <c r="B8" s="5" t="inlineStr">
        <is>
          <t>ARPPU（付費用戶月均）</t>
        </is>
      </c>
      <c r="C8" s="10">
        <f>C5*(1-C7*(1-C6))</f>
        <v/>
      </c>
      <c r="D8" s="7" t="inlineStr">
        <is>
          <t>NT$/月</t>
        </is>
      </c>
      <c r="E8" s="11" t="inlineStr">
        <is>
          <t>考慮年繳折扣後的付費用戶實際月均收入</t>
        </is>
      </c>
    </row>
    <row r="9">
      <c r="B9" s="5" t="inlineStr">
        <is>
          <t>免費→付費轉換率</t>
        </is>
      </c>
      <c r="C9" s="9" t="n">
        <v>0.033</v>
      </c>
      <c r="E9" s="8" t="inlineStr">
        <is>
          <t>Year 1 目標：500 付費 / 15,000 總用戶 ≈ 3.3%</t>
        </is>
      </c>
    </row>
    <row r="11">
      <c r="B11" s="2" t="inlineStr">
        <is>
          <t>每用戶變動成本（COGS）</t>
        </is>
      </c>
      <c r="C11" s="3" t="n"/>
      <c r="D11" s="3" t="n"/>
      <c r="E11" s="3" t="n"/>
    </row>
    <row r="12">
      <c r="B12" s="4" t="inlineStr">
        <is>
          <t>成本項目</t>
        </is>
      </c>
      <c r="C12" s="4" t="inlineStr">
        <is>
          <t>數值</t>
        </is>
      </c>
      <c r="D12" s="4" t="inlineStr">
        <is>
          <t>單位</t>
        </is>
      </c>
      <c r="E12" s="4" t="inlineStr">
        <is>
          <t>說明</t>
        </is>
      </c>
    </row>
    <row r="13">
      <c r="B13" s="5" t="inlineStr">
        <is>
          <t>AI 推理成本</t>
        </is>
      </c>
      <c r="C13" s="6" t="n">
        <v>100</v>
      </c>
      <c r="D13" s="7" t="inlineStr">
        <is>
          <t>NT$/月/用戶</t>
        </is>
      </c>
      <c r="E13" s="8" t="inlineStr">
        <is>
          <t>平均 150 次查詢/月 × NT$0.6/次</t>
        </is>
      </c>
    </row>
    <row r="14">
      <c r="B14" s="5" t="inlineStr">
        <is>
          <t>雲端基礎設施</t>
        </is>
      </c>
      <c r="C14" s="6" t="n">
        <v>20</v>
      </c>
      <c r="D14" s="7" t="inlineStr">
        <is>
          <t>NT$/月/用戶</t>
        </is>
      </c>
      <c r="E14" s="8" t="inlineStr">
        <is>
          <t>伺服器、CDN、資料庫分攤</t>
        </is>
      </c>
    </row>
    <row r="15">
      <c r="B15" s="5" t="inlineStr">
        <is>
          <t>COGS 合計</t>
        </is>
      </c>
      <c r="C15" s="12">
        <f>C13+C14</f>
        <v/>
      </c>
      <c r="D15" s="7" t="inlineStr">
        <is>
          <t>NT$/月/用戶</t>
        </is>
      </c>
    </row>
    <row r="17">
      <c r="B17" s="2" t="inlineStr">
        <is>
          <t>客戶生命週期假設</t>
        </is>
      </c>
      <c r="C17" s="3" t="n"/>
      <c r="D17" s="3" t="n"/>
      <c r="E17" s="3" t="n"/>
    </row>
    <row r="18">
      <c r="B18" s="4" t="inlineStr">
        <is>
          <t>學生類型</t>
        </is>
      </c>
      <c r="C18" s="4" t="inlineStr">
        <is>
          <t>占比</t>
        </is>
      </c>
      <c r="D18" s="4" t="inlineStr">
        <is>
          <t>留存月數</t>
        </is>
      </c>
      <c r="E18" s="4" t="inlineStr">
        <is>
          <t>說明</t>
        </is>
      </c>
    </row>
    <row r="19">
      <c r="B19" s="5" t="inlineStr">
        <is>
          <t>短期使用（1 學年）</t>
        </is>
      </c>
      <c r="C19" s="9" t="n">
        <v>0.6</v>
      </c>
      <c r="D19" s="13" t="n">
        <v>10</v>
      </c>
      <c r="E19" s="8" t="inlineStr">
        <is>
          <t>段考/會考衝刺後離開</t>
        </is>
      </c>
    </row>
    <row r="20">
      <c r="B20" s="5" t="inlineStr">
        <is>
          <t>中期使用（2 學年）</t>
        </is>
      </c>
      <c r="C20" s="9" t="n">
        <v>0.3</v>
      </c>
      <c r="D20" s="13" t="n">
        <v>20</v>
      </c>
      <c r="E20" s="8" t="inlineStr">
        <is>
          <t>跨學年持續訂閱</t>
        </is>
      </c>
    </row>
    <row r="21">
      <c r="B21" s="5" t="inlineStr">
        <is>
          <t>長期使用（3 年+）</t>
        </is>
      </c>
      <c r="C21" s="9" t="n">
        <v>0.1</v>
      </c>
      <c r="D21" s="13" t="n">
        <v>30</v>
      </c>
      <c r="E21" s="8" t="inlineStr">
        <is>
          <t>國中→高中續用</t>
        </is>
      </c>
    </row>
    <row r="22">
      <c r="B22" s="5" t="inlineStr">
        <is>
          <t>加權平均生命週期</t>
        </is>
      </c>
      <c r="C22" s="14">
        <f>SUMPRODUCT(C19:C21,D19:D21)</f>
        <v/>
      </c>
      <c r="D22" s="7" t="inlineStr">
        <is>
          <t>個月</t>
        </is>
      </c>
    </row>
    <row r="23">
      <c r="B23" s="5" t="inlineStr">
        <is>
          <t>保守調整係數</t>
        </is>
      </c>
      <c r="C23" s="9" t="n">
        <v>0.93</v>
      </c>
      <c r="E23" s="11" t="inlineStr">
        <is>
          <t>考量寒暑假流失，15→14 個月 ≈ 93%</t>
        </is>
      </c>
    </row>
    <row r="24">
      <c r="B24" s="5" t="inlineStr">
        <is>
          <t>調整後生命週期</t>
        </is>
      </c>
      <c r="C24" s="15">
        <f>ROUND(C22*C23,0)</f>
        <v/>
      </c>
      <c r="D24" s="7" t="inlineStr">
        <is>
          <t>個月</t>
        </is>
      </c>
    </row>
    <row r="26">
      <c r="B26" s="2" t="inlineStr">
        <is>
          <t>CAC（獲客成本）假設</t>
        </is>
      </c>
      <c r="C26" s="3" t="n"/>
      <c r="D26" s="3" t="n"/>
      <c r="E26" s="3" t="n"/>
    </row>
    <row r="27">
      <c r="B27" s="4" t="inlineStr">
        <is>
          <t>獲客渠道</t>
        </is>
      </c>
      <c r="C27" s="4" t="inlineStr">
        <is>
          <t>CAC</t>
        </is>
      </c>
      <c r="D27" s="4" t="inlineStr">
        <is>
          <t>占比</t>
        </is>
      </c>
      <c r="E27" s="4" t="inlineStr">
        <is>
          <t>說明</t>
        </is>
      </c>
    </row>
    <row r="28">
      <c r="B28" s="5" t="inlineStr">
        <is>
          <t>免費轉付費（PLG）</t>
        </is>
      </c>
      <c r="C28" s="6" t="n">
        <v>100</v>
      </c>
      <c r="D28" s="9" t="n">
        <v>0.4</v>
      </c>
      <c r="E28" s="11" t="inlineStr">
        <is>
          <t>免費用戶自然轉換</t>
        </is>
      </c>
    </row>
    <row r="29">
      <c r="B29" s="5" t="inlineStr">
        <is>
          <t>口碑推薦</t>
        </is>
      </c>
      <c r="C29" s="6" t="n">
        <v>400</v>
      </c>
      <c r="D29" s="9" t="n">
        <v>0.25</v>
      </c>
      <c r="E29" s="11" t="inlineStr">
        <is>
          <t>推薦獎勵機制</t>
        </is>
      </c>
    </row>
    <row r="30">
      <c r="B30" s="5" t="inlineStr">
        <is>
          <t>KOL / 社群行銷</t>
        </is>
      </c>
      <c r="C30" s="6" t="n">
        <v>1000</v>
      </c>
      <c r="D30" s="9" t="n">
        <v>0.2</v>
      </c>
      <c r="E30" s="11" t="inlineStr">
        <is>
          <t>數學補教 YouTuber 合作</t>
        </is>
      </c>
    </row>
    <row r="31">
      <c r="B31" s="5" t="inlineStr">
        <is>
          <t>校園推廣</t>
        </is>
      </c>
      <c r="C31" s="6" t="n">
        <v>650</v>
      </c>
      <c r="D31" s="9" t="n">
        <v>0.15</v>
      </c>
      <c r="E31" s="11" t="inlineStr">
        <is>
          <t>教育展、學校免費試用</t>
        </is>
      </c>
    </row>
    <row r="32">
      <c r="B32" s="5" t="inlineStr">
        <is>
          <t>加權平均 CAC</t>
        </is>
      </c>
      <c r="C32" s="12">
        <f>SUMPRODUCT(C28:C31,D28:D31)</f>
        <v/>
      </c>
      <c r="D32" s="7" t="inlineStr">
        <is>
          <t>NT$</t>
        </is>
      </c>
    </row>
    <row r="33">
      <c r="B33" s="5" t="inlineStr">
        <is>
          <t>CAC 緩衝（含測試成本）</t>
        </is>
      </c>
      <c r="C33" s="6" t="n">
        <v>60</v>
      </c>
      <c r="E33" s="11" t="inlineStr">
        <is>
          <t>渠道測試與優化額外支出</t>
        </is>
      </c>
    </row>
    <row r="34">
      <c r="B34" s="5" t="inlineStr">
        <is>
          <t>最終 CAC</t>
        </is>
      </c>
      <c r="C34" s="12">
        <f>C32+C33</f>
        <v/>
      </c>
    </row>
    <row r="36">
      <c r="B36" s="2" t="inlineStr">
        <is>
          <t>用戶成長假設</t>
        </is>
      </c>
      <c r="C36" s="3" t="n"/>
      <c r="D36" s="3" t="n"/>
      <c r="E36" s="3" t="n"/>
    </row>
    <row r="37">
      <c r="B37" s="4" t="inlineStr">
        <is>
          <t>年度</t>
        </is>
      </c>
      <c r="C37" s="4" t="inlineStr">
        <is>
          <t>付費用戶數</t>
        </is>
      </c>
      <c r="D37" s="4" t="inlineStr">
        <is>
          <t>免費用戶數（年底）</t>
        </is>
      </c>
      <c r="E37" s="4" t="inlineStr">
        <is>
          <t>付費啟動月</t>
        </is>
      </c>
    </row>
    <row r="38">
      <c r="B38" s="5" t="inlineStr">
        <is>
          <t>Year 1</t>
        </is>
      </c>
      <c r="C38" s="6" t="n">
        <v>500</v>
      </c>
      <c r="D38" s="6" t="n">
        <v>15000</v>
      </c>
      <c r="E38" s="13" t="n">
        <v>6</v>
      </c>
    </row>
    <row r="39">
      <c r="B39" s="5" t="inlineStr">
        <is>
          <t>Year 2</t>
        </is>
      </c>
      <c r="C39" s="6" t="n">
        <v>2000</v>
      </c>
      <c r="D39" s="6" t="n">
        <v>40000</v>
      </c>
      <c r="E39" s="13" t="n">
        <v>1</v>
      </c>
    </row>
    <row r="40">
      <c r="B40" s="5" t="inlineStr">
        <is>
          <t>Year 3</t>
        </is>
      </c>
      <c r="C40" s="6" t="n">
        <v>5000</v>
      </c>
      <c r="D40" s="6" t="n">
        <v>80000</v>
      </c>
      <c r="E40" s="13" t="n">
        <v>1</v>
      </c>
    </row>
    <row r="41">
      <c r="B41" s="5" t="inlineStr">
        <is>
          <t>實際轉換率（驗算）</t>
        </is>
      </c>
      <c r="C41" s="16">
        <f>IF(C38+D38=0,0,C38/(C38+D38))</f>
        <v/>
      </c>
      <c r="D41" s="16">
        <f>IF(C39+D39=0,0,C39/(C39+D39))</f>
        <v/>
      </c>
      <c r="E41" s="16">
        <f>IF(C40+D40=0,0,C40/(C40+D40))</f>
        <v/>
      </c>
    </row>
    <row r="42">
      <c r="B42" s="5" t="inlineStr">
        <is>
          <t>ARPU（全用戶月均）</t>
        </is>
      </c>
      <c r="C42" s="10">
        <f>C8*C41</f>
        <v/>
      </c>
      <c r="D42" s="10">
        <f>C8*D41</f>
        <v/>
      </c>
      <c r="E42" s="10">
        <f>C8*E41</f>
        <v/>
      </c>
    </row>
    <row r="44">
      <c r="B44" s="2" t="inlineStr">
        <is>
          <t>營運成本假設</t>
        </is>
      </c>
      <c r="C44" s="3" t="n"/>
      <c r="D44" s="3" t="n"/>
      <c r="E44" s="3" t="n"/>
    </row>
    <row r="45">
      <c r="B45" s="4" t="inlineStr">
        <is>
          <t>項目</t>
        </is>
      </c>
      <c r="C45" s="4" t="inlineStr">
        <is>
          <t>Year 1</t>
        </is>
      </c>
      <c r="D45" s="4" t="inlineStr">
        <is>
          <t>Year 2</t>
        </is>
      </c>
      <c r="E45" s="4" t="inlineStr">
        <is>
          <t>Year 3</t>
        </is>
      </c>
    </row>
    <row r="46">
      <c r="B46" s="5" t="inlineStr">
        <is>
          <t>月固定成本</t>
        </is>
      </c>
      <c r="C46" s="6" t="n">
        <v>160000</v>
      </c>
      <c r="D46" s="6" t="n">
        <v>350000</v>
      </c>
      <c r="E46" s="6" t="n">
        <v>700000</v>
      </c>
    </row>
    <row r="47">
      <c r="B47" s="5" t="inlineStr">
        <is>
          <t>創業支持金</t>
        </is>
      </c>
      <c r="C47" s="6" t="n">
        <v>3000000</v>
      </c>
      <c r="D47" s="6" t="n">
        <v>0</v>
      </c>
      <c r="E47" s="6" t="n"/>
    </row>
  </sheetData>
  <mergeCells count="7">
    <mergeCell ref="B26:E26"/>
    <mergeCell ref="B17:E17"/>
    <mergeCell ref="B1:E1"/>
    <mergeCell ref="B44:E44"/>
    <mergeCell ref="B11:E11"/>
    <mergeCell ref="B3:E3"/>
    <mergeCell ref="B36:E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8000"/>
    <outlinePr summaryBelow="1" summaryRight="1"/>
    <pageSetUpPr/>
  </sheetPr>
  <dimension ref="B1:E3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16" customWidth="1" min="4" max="4"/>
    <col width="14" customWidth="1" min="5" max="5"/>
  </cols>
  <sheetData>
    <row r="1">
      <c r="B1" s="1" t="inlineStr">
        <is>
          <t>單位經濟模型（自動計算）</t>
        </is>
      </c>
    </row>
    <row r="3">
      <c r="B3" s="2" t="inlineStr">
        <is>
          <t>ARPPU vs ARPU</t>
        </is>
      </c>
      <c r="C3" s="3" t="n"/>
      <c r="D3" s="3" t="n"/>
      <c r="E3" s="3" t="n"/>
    </row>
    <row r="4">
      <c r="B4" s="5" t="inlineStr">
        <is>
          <t>ARPPU（付費用戶月均）</t>
        </is>
      </c>
      <c r="C4" s="17">
        <f>假設參數!C8</f>
        <v/>
      </c>
    </row>
    <row r="5">
      <c r="B5" s="5" t="inlineStr">
        <is>
          <t>免費→付費轉換率</t>
        </is>
      </c>
      <c r="C5" s="18">
        <f>假設參數!C9</f>
        <v/>
      </c>
    </row>
    <row r="6">
      <c r="B6" s="5" t="inlineStr">
        <is>
          <t>ARPU（全用戶月均）</t>
        </is>
      </c>
      <c r="C6" s="19">
        <f>C4*C5</f>
        <v/>
      </c>
      <c r="D6" s="11">
        <f> ARPPU × 轉換率</f>
        <v/>
      </c>
    </row>
    <row r="8">
      <c r="B8" s="2" t="inlineStr">
        <is>
          <t>付費用戶成本結構</t>
        </is>
      </c>
      <c r="C8" s="3" t="n"/>
      <c r="D8" s="3" t="n"/>
      <c r="E8" s="3" t="n"/>
    </row>
    <row r="9">
      <c r="B9" s="5" t="inlineStr">
        <is>
          <t>COGS（月/付費用戶）</t>
        </is>
      </c>
      <c r="C9" s="17">
        <f>假設參數!C15</f>
        <v/>
      </c>
    </row>
    <row r="10">
      <c r="B10" s="5" t="inlineStr">
        <is>
          <t>單位貢獻利潤</t>
        </is>
      </c>
      <c r="C10" s="19">
        <f>C4-C9</f>
        <v/>
      </c>
    </row>
    <row r="11">
      <c r="B11" s="5" t="inlineStr">
        <is>
          <t>貢獻利潤率</t>
        </is>
      </c>
      <c r="C11" s="20">
        <f>IF(C4=0,0,C10/C4)</f>
        <v/>
      </c>
      <c r="D11" s="21">
        <f>IF(C11&gt;=0.7,"✅ 健康","⚠️ 偏低")</f>
        <v/>
      </c>
    </row>
    <row r="13">
      <c r="B13" s="2" t="inlineStr">
        <is>
          <t>客戶生命週期</t>
        </is>
      </c>
      <c r="C13" s="3" t="n"/>
      <c r="D13" s="3" t="n"/>
      <c r="E13" s="3" t="n"/>
    </row>
    <row r="14">
      <c r="B14" s="5" t="inlineStr">
        <is>
          <t>加權平均生命週期</t>
        </is>
      </c>
      <c r="C14" s="22">
        <f>假設參數!C22</f>
        <v/>
      </c>
      <c r="D14" s="11" t="inlineStr">
        <is>
          <t>個月（原始）</t>
        </is>
      </c>
    </row>
    <row r="15">
      <c r="B15" s="5" t="inlineStr">
        <is>
          <t>調整後生命週期</t>
        </is>
      </c>
      <c r="C15" s="23">
        <f>假設參數!C24</f>
        <v/>
      </c>
      <c r="D15" s="11" t="inlineStr">
        <is>
          <t>個月（保守值）</t>
        </is>
      </c>
    </row>
    <row r="17">
      <c r="B17" s="2" t="inlineStr">
        <is>
          <t>LTV（客戶終身價值）</t>
        </is>
      </c>
      <c r="C17" s="3" t="n"/>
      <c r="D17" s="3" t="n"/>
      <c r="E17" s="3" t="n"/>
    </row>
    <row r="18">
      <c r="B18" s="24" t="inlineStr">
        <is>
          <t>LTV</t>
        </is>
      </c>
      <c r="C18" s="25">
        <f>C10*C15</f>
        <v/>
      </c>
      <c r="D18" s="26">
        <f> 貢獻利潤 × 生命週期</f>
        <v/>
      </c>
    </row>
    <row r="20">
      <c r="B20" s="2" t="inlineStr">
        <is>
          <t>CAC（獲客成本）</t>
        </is>
      </c>
      <c r="C20" s="3" t="n"/>
      <c r="D20" s="3" t="n"/>
      <c r="E20" s="3" t="n"/>
    </row>
    <row r="21">
      <c r="B21" s="5" t="inlineStr">
        <is>
          <t>CAC</t>
        </is>
      </c>
      <c r="C21" s="17">
        <f>假設參數!C34</f>
        <v/>
      </c>
    </row>
    <row r="23">
      <c r="B23" s="4" t="inlineStr">
        <is>
          <t>指標</t>
        </is>
      </c>
      <c r="C23" s="4" t="inlineStr">
        <is>
          <t>數值</t>
        </is>
      </c>
      <c r="D23" s="4" t="inlineStr">
        <is>
          <t>業界基準</t>
        </is>
      </c>
      <c r="E23" s="4" t="inlineStr">
        <is>
          <t>判斷</t>
        </is>
      </c>
    </row>
    <row r="24">
      <c r="B24" s="5" t="inlineStr">
        <is>
          <t>LTV / CAC</t>
        </is>
      </c>
      <c r="C24" s="27">
        <f>IF(C21=0,0,C18/C21)</f>
        <v/>
      </c>
      <c r="D24" s="28" t="inlineStr">
        <is>
          <t>&gt;3:1</t>
        </is>
      </c>
      <c r="E24" s="21">
        <f>IF(C24&gt;=3,"✅ 健康","❌ 不足")</f>
        <v/>
      </c>
    </row>
    <row r="25">
      <c r="B25" s="5" t="inlineStr">
        <is>
          <t>CAC 回收期（月）</t>
        </is>
      </c>
      <c r="C25" s="27">
        <f>IF(C10=0,0,C21/C10)</f>
        <v/>
      </c>
      <c r="D25" s="28" t="inlineStr">
        <is>
          <t>&lt;12 個月</t>
        </is>
      </c>
      <c r="E25" s="21">
        <f>IF(C25&lt;=12,"✅ 健康","⚠️ 偏長")</f>
        <v/>
      </c>
    </row>
    <row r="26">
      <c r="B26" s="5" t="inlineStr">
        <is>
          <t>貢獻利潤率</t>
        </is>
      </c>
      <c r="C26" s="20">
        <f>C11</f>
        <v/>
      </c>
      <c r="D26" s="28" t="inlineStr">
        <is>
          <t>&gt;70%</t>
        </is>
      </c>
      <c r="E26" s="21">
        <f>IF(C26&gt;=0.7,"✅ SaaS 健康","⚠️ 偏低")</f>
        <v/>
      </c>
    </row>
    <row r="28">
      <c r="B28" s="2" t="inlineStr">
        <is>
          <t>敏感度分析</t>
        </is>
      </c>
      <c r="C28" s="3" t="n"/>
      <c r="D28" s="3" t="n"/>
      <c r="E28" s="3" t="n"/>
    </row>
    <row r="29">
      <c r="B29" s="4" t="inlineStr">
        <is>
          <t>情境</t>
        </is>
      </c>
      <c r="C29" s="4" t="inlineStr">
        <is>
          <t>生命週期</t>
        </is>
      </c>
      <c r="D29" s="4" t="inlineStr">
        <is>
          <t>CAC</t>
        </is>
      </c>
      <c r="E29" s="4" t="inlineStr">
        <is>
          <t>LTV/CAC</t>
        </is>
      </c>
    </row>
    <row r="30">
      <c r="B30" s="29" t="inlineStr">
        <is>
          <t>🟢 樂觀</t>
        </is>
      </c>
      <c r="C30" s="30" t="n">
        <v>18</v>
      </c>
      <c r="D30" s="31" t="n">
        <v>400</v>
      </c>
      <c r="E30" s="32">
        <f>IF(D30=0,0,(C4-C9)*C30/D30)</f>
        <v/>
      </c>
    </row>
    <row r="31">
      <c r="B31" s="33" t="inlineStr">
        <is>
          <t>🟡 基準</t>
        </is>
      </c>
      <c r="C31" s="34">
        <f>C15</f>
        <v/>
      </c>
      <c r="D31" s="35">
        <f>C21</f>
        <v/>
      </c>
      <c r="E31" s="36">
        <f>IF(D31=0,0,(C4-C9)*C31/D31)</f>
        <v/>
      </c>
    </row>
    <row r="32">
      <c r="B32" s="37" t="inlineStr">
        <is>
          <t>🔴 悲觀</t>
        </is>
      </c>
      <c r="C32" s="38" t="n">
        <v>10</v>
      </c>
      <c r="D32" s="39" t="n">
        <v>700</v>
      </c>
      <c r="E32" s="40">
        <f>IF(D32=0,0,(C4-C9)*C32/D32)</f>
        <v/>
      </c>
    </row>
  </sheetData>
  <mergeCells count="7">
    <mergeCell ref="B17:E17"/>
    <mergeCell ref="B1:E1"/>
    <mergeCell ref="B8:E8"/>
    <mergeCell ref="B13:E13"/>
    <mergeCell ref="B3:E3"/>
    <mergeCell ref="B20:E20"/>
    <mergeCell ref="B28:E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6600"/>
    <outlinePr summaryBelow="1" summaryRight="1"/>
    <pageSetUpPr/>
  </sheetPr>
  <dimension ref="B1:E41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18" customWidth="1" min="4" max="4"/>
    <col width="18" customWidth="1" min="5" max="5"/>
  </cols>
  <sheetData>
    <row r="1">
      <c r="B1" s="1" t="inlineStr">
        <is>
          <t>三年財務預測（自動連動）</t>
        </is>
      </c>
    </row>
    <row r="3">
      <c r="B3" s="2" t="inlineStr">
        <is>
          <t>營收預測</t>
        </is>
      </c>
      <c r="C3" s="3" t="n"/>
      <c r="D3" s="3" t="n"/>
      <c r="E3" s="3" t="n"/>
    </row>
    <row r="4">
      <c r="B4" s="4" t="inlineStr">
        <is>
          <t>項目</t>
        </is>
      </c>
      <c r="C4" s="4" t="inlineStr">
        <is>
          <t>Year 1</t>
        </is>
      </c>
      <c r="D4" s="4" t="inlineStr">
        <is>
          <t>Year 2</t>
        </is>
      </c>
      <c r="E4" s="4" t="inlineStr">
        <is>
          <t>Year 3</t>
        </is>
      </c>
    </row>
    <row r="5">
      <c r="B5" s="5" t="inlineStr">
        <is>
          <t>付費用戶數（年底）</t>
        </is>
      </c>
      <c r="C5" s="41">
        <f>假設參數!C38</f>
        <v/>
      </c>
      <c r="D5" s="41">
        <f>假設參數!C39</f>
        <v/>
      </c>
      <c r="E5" s="41">
        <f>假設參數!C40</f>
        <v/>
      </c>
    </row>
    <row r="6">
      <c r="B6" s="5" t="inlineStr">
        <is>
          <t>免費用戶數（年底）</t>
        </is>
      </c>
      <c r="C6" s="41">
        <f>假設參數!D38</f>
        <v/>
      </c>
      <c r="D6" s="41">
        <f>假設參數!D39</f>
        <v/>
      </c>
      <c r="E6" s="41">
        <f>假設參數!D40</f>
        <v/>
      </c>
    </row>
    <row r="7">
      <c r="B7" s="5" t="inlineStr">
        <is>
          <t>全部用戶數（年底）</t>
        </is>
      </c>
      <c r="C7" s="10">
        <f>C5+C6</f>
        <v/>
      </c>
      <c r="D7" s="10">
        <f>D5+D6</f>
        <v/>
      </c>
      <c r="E7" s="10">
        <f>E5+E6</f>
        <v/>
      </c>
    </row>
    <row r="8">
      <c r="B8" s="5" t="inlineStr">
        <is>
          <t>轉換率</t>
        </is>
      </c>
      <c r="C8" s="16">
        <f>IF(C7=0,0,C5/C7)</f>
        <v/>
      </c>
      <c r="D8" s="16">
        <f>IF(D7=0,0,D5/D7)</f>
        <v/>
      </c>
      <c r="E8" s="16">
        <f>IF(E7=0,0,E5/E7)</f>
        <v/>
      </c>
    </row>
    <row r="9">
      <c r="B9" s="5" t="inlineStr">
        <is>
          <t>ARPPU（月）</t>
        </is>
      </c>
      <c r="C9" s="17">
        <f>假設參數!C8</f>
        <v/>
      </c>
      <c r="D9" s="17">
        <f>假設參數!C8</f>
        <v/>
      </c>
      <c r="E9" s="17">
        <f>假設參數!C8</f>
        <v/>
      </c>
    </row>
    <row r="10">
      <c r="B10" s="5" t="inlineStr">
        <is>
          <t>ARPU（全用戶月均）</t>
        </is>
      </c>
      <c r="C10" s="42">
        <f>C9*C8</f>
        <v/>
      </c>
      <c r="D10" s="42">
        <f>D9*D8</f>
        <v/>
      </c>
      <c r="E10" s="42">
        <f>E9*E8</f>
        <v/>
      </c>
    </row>
    <row r="11">
      <c r="B11" s="5" t="inlineStr">
        <is>
          <t>月均付費用戶</t>
        </is>
      </c>
      <c r="C11" s="43">
        <f>ROUND(C5/2*(13-假設參數!E38)/12,0)</f>
        <v/>
      </c>
      <c r="D11" s="43">
        <f>ROUND((C5+D5)/2,0)</f>
        <v/>
      </c>
      <c r="E11" s="43">
        <f>ROUND((D5+E5)/2,0)</f>
        <v/>
      </c>
    </row>
    <row r="12">
      <c r="B12" s="5" t="inlineStr">
        <is>
          <t>年度營收</t>
        </is>
      </c>
      <c r="C12" s="44">
        <f>C11*C9*12</f>
        <v/>
      </c>
      <c r="D12" s="44">
        <f>D11*D9*12</f>
        <v/>
      </c>
      <c r="E12" s="44">
        <f>E11*E9*12</f>
        <v/>
      </c>
    </row>
    <row r="13">
      <c r="B13" s="5" t="inlineStr">
        <is>
          <t>營收成長率</t>
        </is>
      </c>
      <c r="C13" s="45" t="inlineStr">
        <is>
          <t>—</t>
        </is>
      </c>
      <c r="D13" s="46">
        <f>IF(C12=0,0,(D12-C12)/C12)</f>
        <v/>
      </c>
      <c r="E13" s="46">
        <f>IF(D12=0,0,(E12-D12)/D12)</f>
        <v/>
      </c>
    </row>
    <row r="15">
      <c r="B15" s="2" t="inlineStr">
        <is>
          <t>成本結構</t>
        </is>
      </c>
      <c r="C15" s="3" t="n"/>
      <c r="D15" s="3" t="n"/>
      <c r="E15" s="3" t="n"/>
    </row>
    <row r="16">
      <c r="B16" s="4" t="inlineStr">
        <is>
          <t>項目</t>
        </is>
      </c>
      <c r="C16" s="4" t="inlineStr">
        <is>
          <t>Year 1</t>
        </is>
      </c>
      <c r="D16" s="4" t="inlineStr">
        <is>
          <t>Year 2</t>
        </is>
      </c>
      <c r="E16" s="4" t="inlineStr">
        <is>
          <t>Year 3</t>
        </is>
      </c>
    </row>
    <row r="17">
      <c r="B17" s="5" t="inlineStr">
        <is>
          <t>變動成本（COGS）</t>
        </is>
      </c>
      <c r="C17" s="10">
        <f>C11*假設參數!C15*12</f>
        <v/>
      </c>
      <c r="D17" s="10">
        <f>D11*假設參數!C15*12</f>
        <v/>
      </c>
      <c r="E17" s="10">
        <f>E11*假設參數!C15*12</f>
        <v/>
      </c>
    </row>
    <row r="18">
      <c r="B18" s="5" t="inlineStr">
        <is>
          <t>固定成本（OpEx）</t>
        </is>
      </c>
      <c r="C18" s="41">
        <f>假設參數!C46*12</f>
        <v/>
      </c>
      <c r="D18" s="41">
        <f>假設參數!D46*12</f>
        <v/>
      </c>
      <c r="E18" s="41">
        <f>假設參數!E46*12</f>
        <v/>
      </c>
    </row>
    <row r="19">
      <c r="B19" s="5" t="inlineStr">
        <is>
          <t>總成本</t>
        </is>
      </c>
      <c r="C19" s="12">
        <f>C17+C18</f>
        <v/>
      </c>
      <c r="D19" s="12">
        <f>D17+D18</f>
        <v/>
      </c>
      <c r="E19" s="12">
        <f>E17+E18</f>
        <v/>
      </c>
    </row>
    <row r="21">
      <c r="B21" s="2" t="inlineStr">
        <is>
          <t>損益</t>
        </is>
      </c>
      <c r="C21" s="3" t="n"/>
      <c r="D21" s="3" t="n"/>
      <c r="E21" s="3" t="n"/>
    </row>
    <row r="22">
      <c r="B22" s="5" t="inlineStr">
        <is>
          <t>毛利（營收 - COGS）</t>
        </is>
      </c>
      <c r="C22" s="10">
        <f>C12-C17</f>
        <v/>
      </c>
      <c r="D22" s="10">
        <f>D12-D17</f>
        <v/>
      </c>
      <c r="E22" s="10">
        <f>E12-E17</f>
        <v/>
      </c>
    </row>
    <row r="23">
      <c r="B23" s="5" t="inlineStr">
        <is>
          <t>毛利率</t>
        </is>
      </c>
      <c r="C23" s="16">
        <f>IF(C12=0,0,C22/C12)</f>
        <v/>
      </c>
      <c r="D23" s="16">
        <f>IF(D12=0,0,D22/D12)</f>
        <v/>
      </c>
      <c r="E23" s="16">
        <f>IF(E12=0,0,E22/E12)</f>
        <v/>
      </c>
    </row>
    <row r="24">
      <c r="B24" s="5" t="inlineStr">
        <is>
          <t>淨利/虧損</t>
        </is>
      </c>
      <c r="C24" s="47">
        <f>C12-C19</f>
        <v/>
      </c>
      <c r="D24" s="47">
        <f>D12-D19</f>
        <v/>
      </c>
      <c r="E24" s="47">
        <f>E12-E19</f>
        <v/>
      </c>
    </row>
    <row r="25">
      <c r="B25" s="5" t="inlineStr">
        <is>
          <t>淨利率</t>
        </is>
      </c>
      <c r="C25" s="48">
        <f>IF(C12=0,0,C24/C12)</f>
        <v/>
      </c>
      <c r="D25" s="48">
        <f>IF(D12=0,0,D24/D12)</f>
        <v/>
      </c>
      <c r="E25" s="48">
        <f>IF(E12=0,0,E24/E12)</f>
        <v/>
      </c>
    </row>
    <row r="27">
      <c r="B27" s="2" t="inlineStr">
        <is>
          <t>現金流量</t>
        </is>
      </c>
      <c r="C27" s="3" t="n"/>
      <c r="D27" s="3" t="n"/>
      <c r="E27" s="3" t="n"/>
    </row>
    <row r="28">
      <c r="B28" s="4" t="inlineStr">
        <is>
          <t>項目</t>
        </is>
      </c>
      <c r="C28" s="4" t="inlineStr">
        <is>
          <t>Year 1</t>
        </is>
      </c>
      <c r="D28" s="4" t="inlineStr">
        <is>
          <t>Year 2</t>
        </is>
      </c>
      <c r="E28" s="4" t="inlineStr">
        <is>
          <t>Year 3</t>
        </is>
      </c>
    </row>
    <row r="29">
      <c r="B29" s="5" t="inlineStr">
        <is>
          <t>期初現金</t>
        </is>
      </c>
      <c r="C29" s="41">
        <f>假設參數!C47</f>
        <v/>
      </c>
      <c r="D29" s="10">
        <f>C31</f>
        <v/>
      </c>
      <c r="E29" s="10">
        <f>D31</f>
        <v/>
      </c>
    </row>
    <row r="30">
      <c r="B30" s="5" t="inlineStr">
        <is>
          <t>淨現金流</t>
        </is>
      </c>
      <c r="C30" s="49">
        <f>C24</f>
        <v/>
      </c>
      <c r="D30" s="49">
        <f>D24</f>
        <v/>
      </c>
      <c r="E30" s="49">
        <f>E24</f>
        <v/>
      </c>
    </row>
    <row r="31">
      <c r="B31" s="5" t="inlineStr">
        <is>
          <t>期末現金</t>
        </is>
      </c>
      <c r="C31" s="50">
        <f>C29+C30</f>
        <v/>
      </c>
      <c r="D31" s="50">
        <f>D29+D30</f>
        <v/>
      </c>
      <c r="E31" s="50">
        <f>E29+E30</f>
        <v/>
      </c>
    </row>
    <row r="33">
      <c r="B33" s="2" t="inlineStr">
        <is>
          <t>損益兩平分析</t>
        </is>
      </c>
      <c r="C33" s="3" t="n"/>
      <c r="D33" s="3" t="n"/>
      <c r="E33" s="3" t="n"/>
    </row>
    <row r="34">
      <c r="B34" s="5" t="inlineStr">
        <is>
          <t>月固定成本</t>
        </is>
      </c>
      <c r="C34" s="17">
        <f>假設參數!C46</f>
        <v/>
      </c>
    </row>
    <row r="35">
      <c r="B35" s="5" t="inlineStr">
        <is>
          <t>每用戶月貢獻利潤</t>
        </is>
      </c>
      <c r="C35" s="17">
        <f>單位經濟!C10</f>
        <v/>
      </c>
    </row>
    <row r="36">
      <c r="B36" s="24" t="inlineStr">
        <is>
          <t>損益兩平用戶數</t>
        </is>
      </c>
      <c r="C36" s="51">
        <f>IF(C35=0,0,ROUNDUP(C34/C35,0))</f>
        <v/>
      </c>
      <c r="D36" s="7" t="inlineStr">
        <is>
          <t>名付費用戶</t>
        </is>
      </c>
    </row>
    <row r="38">
      <c r="B38" s="2" t="inlineStr">
        <is>
          <t>MRR 里程碑</t>
        </is>
      </c>
      <c r="C38" s="3" t="n"/>
      <c r="D38" s="3" t="n"/>
      <c r="E38" s="3" t="n"/>
    </row>
    <row r="39">
      <c r="B39" s="4" t="inlineStr">
        <is>
          <t>時間點</t>
        </is>
      </c>
      <c r="C39" s="4" t="inlineStr">
        <is>
          <t>付費用戶</t>
        </is>
      </c>
      <c r="D39" s="4" t="inlineStr">
        <is>
          <t>MRR</t>
        </is>
      </c>
      <c r="E39" s="4" t="inlineStr">
        <is>
          <t>說明</t>
        </is>
      </c>
    </row>
    <row r="40">
      <c r="B40" s="5" t="inlineStr">
        <is>
          <t>M6</t>
        </is>
      </c>
      <c r="C40" s="6" t="n">
        <v>50</v>
      </c>
      <c r="D40" s="42">
        <f>C40*假設參數!C8</f>
        <v/>
      </c>
      <c r="E40" s="11" t="inlineStr">
        <is>
          <t>付費方案上線</t>
        </is>
      </c>
    </row>
    <row r="41">
      <c r="B41" s="5" t="inlineStr">
        <is>
          <t>M12（Year 1 結束）</t>
        </is>
      </c>
      <c r="C41" s="41">
        <f>假設參數!C38</f>
        <v/>
      </c>
      <c r="D41" s="42">
        <f>C41*假設參數!C8</f>
        <v/>
      </c>
      <c r="E41" s="11" t="inlineStr">
        <is>
          <t>Year 1 目標</t>
        </is>
      </c>
    </row>
  </sheetData>
  <mergeCells count="7">
    <mergeCell ref="B27:E27"/>
    <mergeCell ref="B1:E1"/>
    <mergeCell ref="B21:E21"/>
    <mergeCell ref="B38:E38"/>
    <mergeCell ref="B15:E15"/>
    <mergeCell ref="B33:E33"/>
    <mergeCell ref="B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B1:N17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B1" s="1" t="inlineStr">
        <is>
          <t>Year 1 — 逐月營運預測</t>
        </is>
      </c>
    </row>
    <row r="3">
      <c r="B3" s="4" t="inlineStr">
        <is>
          <t>月份</t>
        </is>
      </c>
      <c r="C3" s="4" t="inlineStr">
        <is>
          <t>M1</t>
        </is>
      </c>
      <c r="D3" s="4" t="inlineStr">
        <is>
          <t>M2</t>
        </is>
      </c>
      <c r="E3" s="4" t="inlineStr">
        <is>
          <t>M3</t>
        </is>
      </c>
      <c r="F3" s="4" t="inlineStr">
        <is>
          <t>M4</t>
        </is>
      </c>
      <c r="G3" s="4" t="inlineStr">
        <is>
          <t>M5</t>
        </is>
      </c>
      <c r="H3" s="4" t="inlineStr">
        <is>
          <t>M6</t>
        </is>
      </c>
      <c r="I3" s="4" t="inlineStr">
        <is>
          <t>M7</t>
        </is>
      </c>
      <c r="J3" s="4" t="inlineStr">
        <is>
          <t>M8</t>
        </is>
      </c>
      <c r="K3" s="4" t="inlineStr">
        <is>
          <t>M9</t>
        </is>
      </c>
      <c r="L3" s="4" t="inlineStr">
        <is>
          <t>M10</t>
        </is>
      </c>
      <c r="M3" s="4" t="inlineStr">
        <is>
          <t>M11</t>
        </is>
      </c>
      <c r="N3" s="4" t="inlineStr">
        <is>
          <t>M12</t>
        </is>
      </c>
    </row>
    <row r="4">
      <c r="B4" s="5" t="inlineStr">
        <is>
          <t>付費用戶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50</v>
      </c>
      <c r="I4" s="6" t="n">
        <v>125</v>
      </c>
      <c r="J4" s="6" t="n">
        <v>200</v>
      </c>
      <c r="K4" s="6" t="n">
        <v>250</v>
      </c>
      <c r="L4" s="6" t="n">
        <v>300</v>
      </c>
      <c r="M4" s="6" t="n">
        <v>400</v>
      </c>
      <c r="N4" s="6" t="n">
        <v>500</v>
      </c>
    </row>
    <row r="5">
      <c r="B5" s="5" t="inlineStr">
        <is>
          <t>ARPPU</t>
        </is>
      </c>
      <c r="C5" s="41">
        <f>假設參數!C8</f>
        <v/>
      </c>
      <c r="D5" s="41">
        <f>假設參數!C8</f>
        <v/>
      </c>
      <c r="E5" s="41">
        <f>假設參數!C8</f>
        <v/>
      </c>
      <c r="F5" s="41">
        <f>假設參數!C8</f>
        <v/>
      </c>
      <c r="G5" s="41">
        <f>假設參數!C8</f>
        <v/>
      </c>
      <c r="H5" s="41">
        <f>假設參數!C8</f>
        <v/>
      </c>
      <c r="I5" s="41">
        <f>假設參數!C8</f>
        <v/>
      </c>
      <c r="J5" s="41">
        <f>假設參數!C8</f>
        <v/>
      </c>
      <c r="K5" s="41">
        <f>假設參數!C8</f>
        <v/>
      </c>
      <c r="L5" s="41">
        <f>假設參數!C8</f>
        <v/>
      </c>
      <c r="M5" s="41">
        <f>假設參數!C8</f>
        <v/>
      </c>
      <c r="N5" s="41">
        <f>假設參數!C8</f>
        <v/>
      </c>
    </row>
    <row r="6">
      <c r="B6" s="5" t="inlineStr">
        <is>
          <t>月營收</t>
        </is>
      </c>
      <c r="C6" s="10">
        <f>C4*C5</f>
        <v/>
      </c>
      <c r="D6" s="10">
        <f>D4*D5</f>
        <v/>
      </c>
      <c r="E6" s="10">
        <f>E4*E5</f>
        <v/>
      </c>
      <c r="F6" s="10">
        <f>F4*F5</f>
        <v/>
      </c>
      <c r="G6" s="10">
        <f>G4*G5</f>
        <v/>
      </c>
      <c r="H6" s="10">
        <f>H4*H5</f>
        <v/>
      </c>
      <c r="I6" s="10">
        <f>I4*I5</f>
        <v/>
      </c>
      <c r="J6" s="10">
        <f>J4*J5</f>
        <v/>
      </c>
      <c r="K6" s="10">
        <f>K4*K5</f>
        <v/>
      </c>
      <c r="L6" s="10">
        <f>L4*L5</f>
        <v/>
      </c>
      <c r="M6" s="10">
        <f>M4*M5</f>
        <v/>
      </c>
      <c r="N6" s="10">
        <f>N4*N5</f>
        <v/>
      </c>
    </row>
    <row r="7">
      <c r="B7" s="5" t="inlineStr">
        <is>
          <t>COGS</t>
        </is>
      </c>
      <c r="C7" s="10">
        <f>C4*假設參數!C15</f>
        <v/>
      </c>
      <c r="D7" s="10">
        <f>D4*假設參數!C15</f>
        <v/>
      </c>
      <c r="E7" s="10">
        <f>E4*假設參數!C15</f>
        <v/>
      </c>
      <c r="F7" s="10">
        <f>F4*假設參數!C15</f>
        <v/>
      </c>
      <c r="G7" s="10">
        <f>G4*假設參數!C15</f>
        <v/>
      </c>
      <c r="H7" s="10">
        <f>H4*假設參數!C15</f>
        <v/>
      </c>
      <c r="I7" s="10">
        <f>I4*假設參數!C15</f>
        <v/>
      </c>
      <c r="J7" s="10">
        <f>J4*假設參數!C15</f>
        <v/>
      </c>
      <c r="K7" s="10">
        <f>K4*假設參數!C15</f>
        <v/>
      </c>
      <c r="L7" s="10">
        <f>L4*假設參數!C15</f>
        <v/>
      </c>
      <c r="M7" s="10">
        <f>M4*假設參數!C15</f>
        <v/>
      </c>
      <c r="N7" s="10">
        <f>N4*假設參數!C15</f>
        <v/>
      </c>
    </row>
    <row r="8">
      <c r="B8" s="5" t="inlineStr">
        <is>
          <t>貢獻利潤</t>
        </is>
      </c>
      <c r="C8" s="10">
        <f>C6-C7</f>
        <v/>
      </c>
      <c r="D8" s="10">
        <f>D6-D7</f>
        <v/>
      </c>
      <c r="E8" s="10">
        <f>E6-E7</f>
        <v/>
      </c>
      <c r="F8" s="10">
        <f>F6-F7</f>
        <v/>
      </c>
      <c r="G8" s="10">
        <f>G6-G7</f>
        <v/>
      </c>
      <c r="H8" s="10">
        <f>H6-H7</f>
        <v/>
      </c>
      <c r="I8" s="10">
        <f>I6-I7</f>
        <v/>
      </c>
      <c r="J8" s="10">
        <f>J6-J7</f>
        <v/>
      </c>
      <c r="K8" s="10">
        <f>K6-K7</f>
        <v/>
      </c>
      <c r="L8" s="10">
        <f>L6-L7</f>
        <v/>
      </c>
      <c r="M8" s="10">
        <f>M6-M7</f>
        <v/>
      </c>
      <c r="N8" s="10">
        <f>N6-N7</f>
        <v/>
      </c>
    </row>
    <row r="9">
      <c r="B9" s="5" t="inlineStr">
        <is>
          <t>固定成本</t>
        </is>
      </c>
      <c r="C9" s="41">
        <f>假設參數!C46</f>
        <v/>
      </c>
      <c r="D9" s="41">
        <f>假設參數!C46</f>
        <v/>
      </c>
      <c r="E9" s="41">
        <f>假設參數!C46</f>
        <v/>
      </c>
      <c r="F9" s="41">
        <f>假設參數!C46</f>
        <v/>
      </c>
      <c r="G9" s="41">
        <f>假設參數!C46</f>
        <v/>
      </c>
      <c r="H9" s="41">
        <f>假設參數!C46</f>
        <v/>
      </c>
      <c r="I9" s="41">
        <f>假設參數!C46</f>
        <v/>
      </c>
      <c r="J9" s="41">
        <f>假設參數!C46</f>
        <v/>
      </c>
      <c r="K9" s="41">
        <f>假設參數!C46</f>
        <v/>
      </c>
      <c r="L9" s="41">
        <f>假設參數!C46</f>
        <v/>
      </c>
      <c r="M9" s="41">
        <f>假設參數!C46</f>
        <v/>
      </c>
      <c r="N9" s="41">
        <f>假設參數!C46</f>
        <v/>
      </c>
    </row>
    <row r="10">
      <c r="B10" s="5" t="inlineStr">
        <is>
          <t>月損益</t>
        </is>
      </c>
      <c r="C10" s="52">
        <f>C8-C9</f>
        <v/>
      </c>
      <c r="D10" s="52">
        <f>D8-D9</f>
        <v/>
      </c>
      <c r="E10" s="52">
        <f>E8-E9</f>
        <v/>
      </c>
      <c r="F10" s="52">
        <f>F8-F9</f>
        <v/>
      </c>
      <c r="G10" s="52">
        <f>G8-G9</f>
        <v/>
      </c>
      <c r="H10" s="52">
        <f>H8-H9</f>
        <v/>
      </c>
      <c r="I10" s="52">
        <f>I8-I9</f>
        <v/>
      </c>
      <c r="J10" s="52">
        <f>J8-J9</f>
        <v/>
      </c>
      <c r="K10" s="52">
        <f>K8-K9</f>
        <v/>
      </c>
      <c r="L10" s="52">
        <f>L8-L9</f>
        <v/>
      </c>
      <c r="M10" s="52">
        <f>M8-M9</f>
        <v/>
      </c>
      <c r="N10" s="52">
        <f>N8-N9</f>
        <v/>
      </c>
    </row>
    <row r="11">
      <c r="B11" s="5" t="inlineStr">
        <is>
          <t>累計損益</t>
        </is>
      </c>
      <c r="C11" s="52">
        <f>C10</f>
        <v/>
      </c>
      <c r="D11" s="52">
        <f>C11+D10</f>
        <v/>
      </c>
      <c r="E11" s="52">
        <f>D11+E10</f>
        <v/>
      </c>
      <c r="F11" s="52">
        <f>E11+F10</f>
        <v/>
      </c>
      <c r="G11" s="52">
        <f>F11+G10</f>
        <v/>
      </c>
      <c r="H11" s="52">
        <f>G11+H10</f>
        <v/>
      </c>
      <c r="I11" s="52">
        <f>H11+I10</f>
        <v/>
      </c>
      <c r="J11" s="52">
        <f>I11+J10</f>
        <v/>
      </c>
      <c r="K11" s="52">
        <f>J11+K10</f>
        <v/>
      </c>
      <c r="L11" s="52">
        <f>K11+L10</f>
        <v/>
      </c>
      <c r="M11" s="52">
        <f>L11+M10</f>
        <v/>
      </c>
      <c r="N11" s="52">
        <f>M11+N10</f>
        <v/>
      </c>
    </row>
    <row r="12">
      <c r="B12" s="5" t="inlineStr">
        <is>
          <t>MRR</t>
        </is>
      </c>
      <c r="C12" s="19">
        <f>C6</f>
        <v/>
      </c>
      <c r="D12" s="19">
        <f>D6</f>
        <v/>
      </c>
      <c r="E12" s="19">
        <f>E6</f>
        <v/>
      </c>
      <c r="F12" s="19">
        <f>F6</f>
        <v/>
      </c>
      <c r="G12" s="19">
        <f>G6</f>
        <v/>
      </c>
      <c r="H12" s="19">
        <f>H6</f>
        <v/>
      </c>
      <c r="I12" s="19">
        <f>I6</f>
        <v/>
      </c>
      <c r="J12" s="19">
        <f>J6</f>
        <v/>
      </c>
      <c r="K12" s="19">
        <f>K6</f>
        <v/>
      </c>
      <c r="L12" s="19">
        <f>L6</f>
        <v/>
      </c>
      <c r="M12" s="19">
        <f>M6</f>
        <v/>
      </c>
      <c r="N12" s="19">
        <f>N6</f>
        <v/>
      </c>
    </row>
    <row r="14">
      <c r="B14" s="53" t="inlineStr">
        <is>
          <t>Year 1 摘要</t>
        </is>
      </c>
    </row>
    <row r="15">
      <c r="B15" s="5" t="inlineStr">
        <is>
          <t>全年營收合計</t>
        </is>
      </c>
      <c r="C15" s="44">
        <f>SUM(C6:N6)</f>
        <v/>
      </c>
    </row>
    <row r="16">
      <c r="B16" s="5" t="inlineStr">
        <is>
          <t>M6 MRR</t>
        </is>
      </c>
      <c r="C16" s="19">
        <f>H6</f>
        <v/>
      </c>
    </row>
    <row r="17">
      <c r="B17" s="5" t="inlineStr">
        <is>
          <t>M12 MRR</t>
        </is>
      </c>
      <c r="C17" s="19">
        <f>N6</f>
        <v/>
      </c>
    </row>
  </sheetData>
  <mergeCells count="2">
    <mergeCell ref="B1:N1"/>
    <mergeCell ref="B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2026-03-16T12:27:38Z</dcterms:created>
  <dcterms:modified xmlns:dcterms="http://purl.org/dc/terms/" xmlns:xsi="http://www.w3.org/2001/XMLSchema-instance" xsi:type="dcterms:W3CDTF">2026-03-16T12:27:38Z</dcterms:modified>
</cp:coreProperties>
</file>