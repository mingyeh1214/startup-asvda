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fd1a3192b6ff12/Desktop/Work/Youtube/Youtube Main Channel/Unit Economics Over Startup Lifecycle/"/>
    </mc:Choice>
  </mc:AlternateContent>
  <xr:revisionPtr revIDLastSave="62" documentId="8_{7FD8B0E2-5B1B-4C5F-A5AC-369C41256B05}" xr6:coauthVersionLast="47" xr6:coauthVersionMax="47" xr10:uidLastSave="{7C78850C-426E-4117-AD2B-F59838905AA3}"/>
  <bookViews>
    <workbookView xWindow="28680" yWindow="-120" windowWidth="29040" windowHeight="16440" xr2:uid="{FC3356A1-3021-416F-AAFB-F16A73D08B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C36" i="1"/>
  <c r="C33" i="1"/>
  <c r="C32" i="1"/>
  <c r="J24" i="1"/>
  <c r="I24" i="1"/>
  <c r="J34" i="1" l="1"/>
  <c r="J32" i="1"/>
  <c r="J33" i="1" s="1"/>
  <c r="G42" i="1"/>
  <c r="G43" i="1" s="1"/>
  <c r="G46" i="1" s="1"/>
  <c r="F42" i="1"/>
  <c r="F43" i="1" s="1"/>
  <c r="F44" i="1" s="1"/>
  <c r="E42" i="1"/>
  <c r="E43" i="1" s="1"/>
  <c r="E46" i="1" s="1"/>
  <c r="D42" i="1"/>
  <c r="D43" i="1" s="1"/>
  <c r="C42" i="1"/>
  <c r="F32" i="1"/>
  <c r="F33" i="1" s="1"/>
  <c r="F36" i="1" s="1"/>
  <c r="G32" i="1"/>
  <c r="G33" i="1" s="1"/>
  <c r="G36" i="1" s="1"/>
  <c r="E33" i="1"/>
  <c r="E36" i="1" s="1"/>
  <c r="D32" i="1"/>
  <c r="D33" i="1" s="1"/>
  <c r="D36" i="1" s="1"/>
  <c r="D44" i="1" l="1"/>
  <c r="D46" i="1"/>
  <c r="J35" i="1"/>
  <c r="F46" i="1"/>
  <c r="E44" i="1"/>
  <c r="G44" i="1"/>
  <c r="K32" i="1"/>
  <c r="L32" i="1" s="1"/>
  <c r="L33" i="1" s="1"/>
  <c r="C43" i="1"/>
  <c r="D34" i="1"/>
  <c r="G34" i="1"/>
  <c r="F34" i="1"/>
  <c r="E34" i="1"/>
  <c r="C34" i="1"/>
  <c r="M32" i="1" l="1"/>
  <c r="N32" i="1" s="1"/>
  <c r="C44" i="1"/>
  <c r="C46" i="1"/>
  <c r="K33" i="1"/>
  <c r="K35" i="1" s="1"/>
  <c r="L35" i="1" s="1"/>
  <c r="M33" i="1" l="1"/>
  <c r="M35" i="1" s="1"/>
  <c r="N33" i="1"/>
  <c r="O32" i="1"/>
  <c r="O33" i="1" s="1"/>
  <c r="N35" i="1" l="1"/>
  <c r="O3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D36" authorId="0" shapeId="0" xr:uid="{F533845F-4CA9-402D-8D63-3B86BACD1DF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Check out the cohort to the right to understand the timing of the CAC payback.
</t>
        </r>
      </text>
    </comment>
  </commentList>
</comments>
</file>

<file path=xl/sharedStrings.xml><?xml version="1.0" encoding="utf-8"?>
<sst xmlns="http://schemas.openxmlformats.org/spreadsheetml/2006/main" count="71" uniqueCount="55">
  <si>
    <t>Early-Stage</t>
  </si>
  <si>
    <t>Goal: unit economics improve over time</t>
  </si>
  <si>
    <t>CAC</t>
  </si>
  <si>
    <t>LTV</t>
  </si>
  <si>
    <t>Idea</t>
  </si>
  <si>
    <t>MVP</t>
  </si>
  <si>
    <t>LTV: CAC</t>
  </si>
  <si>
    <t xml:space="preserve">Unit economics definition: the revenue, costs, and profit you make on one customer over their lifetime. </t>
  </si>
  <si>
    <t>Optimal</t>
  </si>
  <si>
    <t>Sub-Optimal</t>
  </si>
  <si>
    <t>CAC Payback</t>
  </si>
  <si>
    <t>Description</t>
  </si>
  <si>
    <t>Growth</t>
  </si>
  <si>
    <t>First few customers.</t>
  </si>
  <si>
    <t>Scaling towards $100mm ARR.</t>
  </si>
  <si>
    <t>$500K-10mm ARR.</t>
  </si>
  <si>
    <t>$10-500K ARR.</t>
  </si>
  <si>
    <t>Late Stage/Exit</t>
  </si>
  <si>
    <t>1 year</t>
  </si>
  <si>
    <t>6 months</t>
  </si>
  <si>
    <t>9  months</t>
  </si>
  <si>
    <t>LTV: CAC Target</t>
  </si>
  <si>
    <t>SaaS (B2B)</t>
  </si>
  <si>
    <t>Payback Target</t>
  </si>
  <si>
    <t>&lt; 6 months</t>
  </si>
  <si>
    <t>*Depends a bit on fundraising market.</t>
  </si>
  <si>
    <t>If unit economics are getting worse over time, it implies that your business will get progressively less profitable as it grows.</t>
  </si>
  <si>
    <t>If your unit economics are deteriorating, then why would I want to own it at 10X the size?</t>
  </si>
  <si>
    <r>
      <rPr>
        <b/>
        <sz val="11"/>
        <color theme="1"/>
        <rFont val="Calibri"/>
        <family val="2"/>
        <scheme val="minor"/>
      </rPr>
      <t xml:space="preserve">CAC: </t>
    </r>
    <r>
      <rPr>
        <sz val="11"/>
        <color theme="1"/>
        <rFont val="Calibri"/>
        <family val="2"/>
        <scheme val="minor"/>
      </rPr>
      <t xml:space="preserve">"customer acquisition cost" the amount of marketing you spend to get 1 new customer to buy for the very first time. </t>
    </r>
  </si>
  <si>
    <r>
      <rPr>
        <b/>
        <sz val="11"/>
        <color theme="1"/>
        <rFont val="Calibri"/>
        <family val="2"/>
        <scheme val="minor"/>
      </rPr>
      <t xml:space="preserve">AOV: </t>
    </r>
    <r>
      <rPr>
        <sz val="11"/>
        <color theme="1"/>
        <rFont val="Calibri"/>
        <family val="2"/>
        <scheme val="minor"/>
      </rPr>
      <t>"average order value", how much a customer spends on average</t>
    </r>
  </si>
  <si>
    <r>
      <rPr>
        <b/>
        <sz val="11"/>
        <color theme="1"/>
        <rFont val="Calibri"/>
        <family val="2"/>
        <scheme val="minor"/>
      </rPr>
      <t>Gross profit:</t>
    </r>
    <r>
      <rPr>
        <sz val="11"/>
        <color theme="1"/>
        <rFont val="Calibri"/>
        <family val="2"/>
        <scheme val="minor"/>
      </rPr>
      <t xml:space="preserve"> how much profit the company makes from an average order. </t>
    </r>
  </si>
  <si>
    <t xml:space="preserve">The unit economics of each marginal customer should be better than the last, meaning your business will improve it's moat over time. </t>
  </si>
  <si>
    <r>
      <rPr>
        <b/>
        <sz val="11"/>
        <color theme="1"/>
        <rFont val="Calibri"/>
        <family val="2"/>
        <scheme val="minor"/>
      </rPr>
      <t xml:space="preserve">LTV (customer lifetime value): </t>
    </r>
    <r>
      <rPr>
        <sz val="11"/>
        <color theme="1"/>
        <rFont val="Calibri"/>
        <family val="2"/>
        <scheme val="minor"/>
      </rPr>
      <t>how much gross profit a company makes from their relationship with one customer over their LIFETIME of orders.</t>
    </r>
  </si>
  <si>
    <r>
      <rPr>
        <b/>
        <sz val="11"/>
        <color theme="1"/>
        <rFont val="Calibri"/>
        <family val="2"/>
        <scheme val="minor"/>
      </rPr>
      <t>LTV: CAC ratio</t>
    </r>
    <r>
      <rPr>
        <sz val="11"/>
        <color theme="1"/>
        <rFont val="Calibri"/>
        <family val="2"/>
        <scheme val="minor"/>
      </rPr>
      <t xml:space="preserve">: how many multiples of gross profit does a company make, compared to the marketing expenses to acquire a customer (CAC). </t>
    </r>
  </si>
  <si>
    <r>
      <rPr>
        <b/>
        <sz val="11"/>
        <color theme="1"/>
        <rFont val="Calibri"/>
        <family val="2"/>
        <scheme val="minor"/>
      </rPr>
      <t xml:space="preserve">Example: </t>
    </r>
    <r>
      <rPr>
        <sz val="11"/>
        <color theme="1"/>
        <rFont val="Calibri"/>
        <family val="2"/>
        <scheme val="minor"/>
      </rPr>
      <t>we spend $100 to acquire a customer, but over a 3 year period we made $390 in gross profit off them. So our our LTV: CAC ratio is 3.9 OR post-marketing LTV is ($390-100) $290.</t>
    </r>
  </si>
  <si>
    <t xml:space="preserve">Idea, no customers. </t>
  </si>
  <si>
    <r>
      <rPr>
        <b/>
        <i/>
        <sz val="11"/>
        <color theme="1"/>
        <rFont val="Calibri"/>
        <family val="2"/>
        <scheme val="minor"/>
      </rPr>
      <t>Case Study:</t>
    </r>
    <r>
      <rPr>
        <i/>
        <sz val="11"/>
        <color theme="1"/>
        <rFont val="Calibri"/>
        <family val="2"/>
        <scheme val="minor"/>
      </rPr>
      <t xml:space="preserve"> B2B SaaS company, makes an email marketing software launching MVP at $99 / month.</t>
    </r>
  </si>
  <si>
    <t>M1</t>
  </si>
  <si>
    <t>M2</t>
  </si>
  <si>
    <t>M3</t>
  </si>
  <si>
    <t>M4</t>
  </si>
  <si>
    <t>M5</t>
  </si>
  <si>
    <t>Rev</t>
  </si>
  <si>
    <t>M6</t>
  </si>
  <si>
    <t>LTV &amp; CAC Cohort</t>
  </si>
  <si>
    <t>LTV Post-CAC</t>
  </si>
  <si>
    <t>Gross Profit</t>
  </si>
  <si>
    <t>Customers</t>
  </si>
  <si>
    <r>
      <t xml:space="preserve">From Idea to Exit: </t>
    </r>
    <r>
      <rPr>
        <b/>
        <u/>
        <sz val="14"/>
        <color theme="1"/>
        <rFont val="Calibri"/>
        <family val="2"/>
        <scheme val="minor"/>
      </rPr>
      <t>SaaS</t>
    </r>
    <r>
      <rPr>
        <b/>
        <sz val="14"/>
        <color theme="1"/>
        <rFont val="Calibri"/>
        <family val="2"/>
        <scheme val="minor"/>
      </rPr>
      <t xml:space="preserve"> Startup Unit Economics Journey</t>
    </r>
  </si>
  <si>
    <t>Part 3: eCommerce Startups</t>
  </si>
  <si>
    <t>Part 1: SaaS Startups =&gt; today's lesson!</t>
  </si>
  <si>
    <t xml:space="preserve">Part 2: Marketplace Startups </t>
  </si>
  <si>
    <r>
      <t>Unit Economics Definition</t>
    </r>
    <r>
      <rPr>
        <b/>
        <sz val="11"/>
        <color rgb="FF0070C0"/>
        <rFont val="Calibri"/>
        <family val="2"/>
        <scheme val="minor"/>
      </rPr>
      <t>: the marketing costs &amp; lifetime profit associated with one individual customer.</t>
    </r>
  </si>
  <si>
    <t>Price (AOV)</t>
  </si>
  <si>
    <t>9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</si>
</sst>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rgb="FF0000FF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u/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left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43" fontId="0" fillId="0" borderId="0" xfId="1" applyFont="1"/>
    <xf numFmtId="164" fontId="0" fillId="0" borderId="0" xfId="2" applyNumberFormat="1" applyFont="1"/>
    <xf numFmtId="43" fontId="0" fillId="0" borderId="0" xfId="1" applyFont="1" applyAlignment="1">
      <alignment horizontal="right"/>
    </xf>
    <xf numFmtId="0" fontId="7" fillId="3" borderId="0" xfId="0" applyFont="1" applyFill="1" applyAlignment="1">
      <alignment horizontal="right"/>
    </xf>
    <xf numFmtId="43" fontId="7" fillId="3" borderId="0" xfId="1" applyFont="1" applyFill="1" applyAlignment="1">
      <alignment horizontal="right"/>
    </xf>
    <xf numFmtId="0" fontId="8" fillId="0" borderId="0" xfId="0" applyFont="1" applyAlignment="1">
      <alignment horizontal="left" indent="1"/>
    </xf>
    <xf numFmtId="0" fontId="9" fillId="0" borderId="0" xfId="0" applyFont="1"/>
    <xf numFmtId="164" fontId="0" fillId="0" borderId="0" xfId="0" applyNumberFormat="1"/>
    <xf numFmtId="0" fontId="10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8" xfId="0" applyFont="1" applyBorder="1"/>
    <xf numFmtId="164" fontId="0" fillId="0" borderId="9" xfId="0" applyNumberFormat="1" applyBorder="1"/>
    <xf numFmtId="0" fontId="0" fillId="0" borderId="9" xfId="0" applyBorder="1"/>
    <xf numFmtId="0" fontId="2" fillId="0" borderId="10" xfId="0" applyFont="1" applyBorder="1"/>
    <xf numFmtId="164" fontId="0" fillId="0" borderId="1" xfId="0" applyNumberFormat="1" applyBorder="1"/>
    <xf numFmtId="164" fontId="0" fillId="0" borderId="11" xfId="0" applyNumberFormat="1" applyBorder="1"/>
    <xf numFmtId="0" fontId="4" fillId="0" borderId="9" xfId="0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5" fontId="14" fillId="0" borderId="0" xfId="1" applyNumberFormat="1" applyFont="1" applyAlignment="1">
      <alignment horizontal="center" vertical="center" wrapText="1"/>
    </xf>
    <xf numFmtId="165" fontId="14" fillId="0" borderId="0" xfId="1" applyNumberFormat="1" applyFont="1" applyAlignment="1">
      <alignment horizontal="center" vertical="center"/>
    </xf>
    <xf numFmtId="164" fontId="0" fillId="0" borderId="0" xfId="2" applyNumberFormat="1" applyFont="1" applyFill="1"/>
    <xf numFmtId="0" fontId="16" fillId="0" borderId="0" xfId="0" applyFont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17" fillId="0" borderId="0" xfId="0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64DDB-9524-40EF-88B0-FE925AD9CBB6}">
  <dimension ref="B1:O47"/>
  <sheetViews>
    <sheetView tabSelected="1" topLeftCell="A21" zoomScale="140" zoomScaleNormal="140" workbookViewId="0">
      <selection activeCell="G37" sqref="G37"/>
    </sheetView>
  </sheetViews>
  <sheetFormatPr defaultRowHeight="14.4" x14ac:dyDescent="0.3"/>
  <cols>
    <col min="1" max="1" width="2.44140625" customWidth="1"/>
    <col min="2" max="2" width="16.77734375" customWidth="1"/>
    <col min="3" max="7" width="18.77734375" customWidth="1"/>
    <col min="8" max="8" width="15.6640625" customWidth="1"/>
    <col min="9" max="9" width="14.44140625" customWidth="1"/>
  </cols>
  <sheetData>
    <row r="1" spans="2:7" ht="18" x14ac:dyDescent="0.35">
      <c r="B1" s="9" t="s">
        <v>48</v>
      </c>
    </row>
    <row r="2" spans="2:7" ht="12.6" customHeight="1" x14ac:dyDescent="0.3"/>
    <row r="3" spans="2:7" ht="14.4" customHeight="1" x14ac:dyDescent="0.3">
      <c r="B3" s="21" t="s">
        <v>50</v>
      </c>
    </row>
    <row r="4" spans="2:7" ht="14.4" customHeight="1" x14ac:dyDescent="0.3">
      <c r="B4" s="40" t="s">
        <v>51</v>
      </c>
    </row>
    <row r="5" spans="2:7" ht="14.4" customHeight="1" x14ac:dyDescent="0.3">
      <c r="B5" s="40" t="s">
        <v>49</v>
      </c>
    </row>
    <row r="6" spans="2:7" ht="15" customHeight="1" x14ac:dyDescent="0.3"/>
    <row r="7" spans="2:7" ht="15" customHeight="1" x14ac:dyDescent="0.3">
      <c r="B7" s="45" t="s">
        <v>52</v>
      </c>
    </row>
    <row r="8" spans="2:7" ht="15" customHeight="1" x14ac:dyDescent="0.3"/>
    <row r="9" spans="2:7" x14ac:dyDescent="0.3">
      <c r="B9" s="21" t="s">
        <v>1</v>
      </c>
      <c r="G9" s="4"/>
    </row>
    <row r="10" spans="2:7" x14ac:dyDescent="0.3">
      <c r="B10" t="s">
        <v>26</v>
      </c>
      <c r="G10" s="4"/>
    </row>
    <row r="11" spans="2:7" x14ac:dyDescent="0.3">
      <c r="B11" t="s">
        <v>27</v>
      </c>
      <c r="G11" s="4"/>
    </row>
    <row r="12" spans="2:7" x14ac:dyDescent="0.3">
      <c r="B12" t="s">
        <v>31</v>
      </c>
      <c r="G12" s="4"/>
    </row>
    <row r="14" spans="2:7" x14ac:dyDescent="0.3">
      <c r="B14" s="21" t="s">
        <v>7</v>
      </c>
    </row>
    <row r="15" spans="2:7" x14ac:dyDescent="0.3">
      <c r="B15" s="2" t="s">
        <v>28</v>
      </c>
    </row>
    <row r="16" spans="2:7" x14ac:dyDescent="0.3">
      <c r="B16" s="2" t="s">
        <v>29</v>
      </c>
    </row>
    <row r="17" spans="2:15" x14ac:dyDescent="0.3">
      <c r="B17" s="2" t="s">
        <v>30</v>
      </c>
    </row>
    <row r="18" spans="2:15" x14ac:dyDescent="0.3">
      <c r="B18" s="2" t="s">
        <v>32</v>
      </c>
      <c r="D18" s="5"/>
      <c r="E18" s="5"/>
    </row>
    <row r="19" spans="2:15" x14ac:dyDescent="0.3">
      <c r="B19" s="2" t="s">
        <v>33</v>
      </c>
    </row>
    <row r="20" spans="2:15" x14ac:dyDescent="0.3">
      <c r="B20" s="3" t="s">
        <v>34</v>
      </c>
    </row>
    <row r="21" spans="2:15" ht="15" thickBot="1" x14ac:dyDescent="0.35"/>
    <row r="22" spans="2:15" ht="15" thickBot="1" x14ac:dyDescent="0.35">
      <c r="B22" s="41" t="s">
        <v>36</v>
      </c>
      <c r="C22" s="42"/>
      <c r="D22" s="42"/>
      <c r="E22" s="42"/>
      <c r="F22" s="42"/>
      <c r="G22" s="43"/>
      <c r="I22">
        <v>390</v>
      </c>
      <c r="J22">
        <v>390</v>
      </c>
    </row>
    <row r="23" spans="2:15" x14ac:dyDescent="0.3">
      <c r="I23">
        <v>100</v>
      </c>
      <c r="J23">
        <v>100</v>
      </c>
    </row>
    <row r="24" spans="2:15" x14ac:dyDescent="0.3">
      <c r="B24" s="7" t="s">
        <v>22</v>
      </c>
      <c r="C24" s="8" t="s">
        <v>4</v>
      </c>
      <c r="D24" s="8" t="s">
        <v>5</v>
      </c>
      <c r="E24" s="8" t="s">
        <v>0</v>
      </c>
      <c r="F24" s="8" t="s">
        <v>12</v>
      </c>
      <c r="G24" s="8" t="s">
        <v>17</v>
      </c>
      <c r="H24" s="8"/>
      <c r="I24">
        <f>I22/I23</f>
        <v>3.9</v>
      </c>
      <c r="J24">
        <f>J22-J23</f>
        <v>290</v>
      </c>
    </row>
    <row r="25" spans="2:15" x14ac:dyDescent="0.3">
      <c r="B25" s="10"/>
      <c r="C25" s="8"/>
      <c r="D25" s="8"/>
      <c r="F25" s="8"/>
      <c r="G25" s="8"/>
    </row>
    <row r="26" spans="2:15" s="12" customFormat="1" ht="28.8" x14ac:dyDescent="0.3">
      <c r="B26" s="13" t="s">
        <v>11</v>
      </c>
      <c r="C26" s="11" t="s">
        <v>35</v>
      </c>
      <c r="D26" s="11" t="s">
        <v>13</v>
      </c>
      <c r="E26" s="14" t="s">
        <v>16</v>
      </c>
      <c r="F26" s="11" t="s">
        <v>15</v>
      </c>
      <c r="G26" s="11" t="s">
        <v>14</v>
      </c>
    </row>
    <row r="27" spans="2:15" s="12" customFormat="1" x14ac:dyDescent="0.3">
      <c r="B27" s="35" t="s">
        <v>47</v>
      </c>
      <c r="C27" s="37">
        <v>0</v>
      </c>
      <c r="D27" s="37">
        <v>10</v>
      </c>
      <c r="E27" s="38">
        <v>96</v>
      </c>
      <c r="F27" s="38">
        <v>2360</v>
      </c>
      <c r="G27" s="38">
        <v>31506</v>
      </c>
      <c r="H27" s="36"/>
    </row>
    <row r="28" spans="2:15" x14ac:dyDescent="0.3">
      <c r="B28" s="5"/>
      <c r="C28" s="5"/>
      <c r="D28" s="5"/>
      <c r="E28" s="34"/>
      <c r="F28" s="34"/>
    </row>
    <row r="29" spans="2:15" x14ac:dyDescent="0.3">
      <c r="B29" s="44" t="s">
        <v>8</v>
      </c>
    </row>
    <row r="30" spans="2:15" x14ac:dyDescent="0.3">
      <c r="B30" s="6" t="s">
        <v>2</v>
      </c>
      <c r="C30" s="16">
        <v>300</v>
      </c>
      <c r="D30" s="16">
        <v>300</v>
      </c>
      <c r="E30" s="16">
        <v>300</v>
      </c>
      <c r="F30" s="16">
        <v>300</v>
      </c>
      <c r="G30" s="16">
        <v>300</v>
      </c>
      <c r="I30" s="23" t="s">
        <v>44</v>
      </c>
      <c r="J30" s="24"/>
      <c r="K30" s="24"/>
      <c r="L30" s="24"/>
      <c r="M30" s="24"/>
      <c r="N30" s="24"/>
      <c r="O30" s="25"/>
    </row>
    <row r="31" spans="2:15" x14ac:dyDescent="0.3">
      <c r="B31" s="6" t="s">
        <v>53</v>
      </c>
      <c r="C31" s="16">
        <v>179</v>
      </c>
      <c r="D31" s="16">
        <v>99</v>
      </c>
      <c r="E31" s="16">
        <v>129</v>
      </c>
      <c r="F31" s="16">
        <v>149</v>
      </c>
      <c r="G31" s="16">
        <v>179</v>
      </c>
      <c r="I31" s="26"/>
      <c r="J31" s="8" t="s">
        <v>37</v>
      </c>
      <c r="K31" s="8" t="s">
        <v>38</v>
      </c>
      <c r="L31" s="8" t="s">
        <v>39</v>
      </c>
      <c r="M31" s="8" t="s">
        <v>40</v>
      </c>
      <c r="N31" s="8" t="s">
        <v>41</v>
      </c>
      <c r="O31" s="33" t="s">
        <v>43</v>
      </c>
    </row>
    <row r="32" spans="2:15" x14ac:dyDescent="0.3">
      <c r="B32" s="6" t="s">
        <v>46</v>
      </c>
      <c r="C32" s="16">
        <f>C31*0.8</f>
        <v>143.20000000000002</v>
      </c>
      <c r="D32" s="16">
        <f>D31*0.6</f>
        <v>59.4</v>
      </c>
      <c r="E32" s="16">
        <f>E31*0.8</f>
        <v>103.2</v>
      </c>
      <c r="F32" s="16">
        <f>F31*0.8</f>
        <v>119.2</v>
      </c>
      <c r="G32" s="16">
        <f>G31*0.8</f>
        <v>143.20000000000002</v>
      </c>
      <c r="I32" s="27" t="s">
        <v>42</v>
      </c>
      <c r="J32" s="22">
        <f>D31</f>
        <v>99</v>
      </c>
      <c r="K32" s="22">
        <f>J32+$D$31</f>
        <v>198</v>
      </c>
      <c r="L32" s="22">
        <f>K32+$D$31</f>
        <v>297</v>
      </c>
      <c r="M32" s="22">
        <f>L32+$D$31</f>
        <v>396</v>
      </c>
      <c r="N32" s="22">
        <f>M32+$D$31</f>
        <v>495</v>
      </c>
      <c r="O32" s="28">
        <f>N32+$D$31</f>
        <v>594</v>
      </c>
    </row>
    <row r="33" spans="2:15" x14ac:dyDescent="0.3">
      <c r="B33" s="6" t="s">
        <v>3</v>
      </c>
      <c r="C33" s="16">
        <f>C32*24</f>
        <v>3436.8</v>
      </c>
      <c r="D33" s="16">
        <f>D32*6</f>
        <v>356.4</v>
      </c>
      <c r="E33" s="16">
        <f>E32*12</f>
        <v>1238.4000000000001</v>
      </c>
      <c r="F33" s="16">
        <f>F32*15</f>
        <v>1788</v>
      </c>
      <c r="G33" s="16">
        <f>G32*18</f>
        <v>2577.6000000000004</v>
      </c>
      <c r="I33" s="27" t="s">
        <v>3</v>
      </c>
      <c r="J33" s="22">
        <f>J32*0.6</f>
        <v>59.4</v>
      </c>
      <c r="K33" s="22">
        <f t="shared" ref="K33:O33" si="0">K32*0.6</f>
        <v>118.8</v>
      </c>
      <c r="L33" s="22">
        <f t="shared" si="0"/>
        <v>178.2</v>
      </c>
      <c r="M33" s="22">
        <f t="shared" si="0"/>
        <v>237.6</v>
      </c>
      <c r="N33" s="22">
        <f t="shared" si="0"/>
        <v>297</v>
      </c>
      <c r="O33" s="28">
        <f t="shared" si="0"/>
        <v>356.4</v>
      </c>
    </row>
    <row r="34" spans="2:15" x14ac:dyDescent="0.3">
      <c r="B34" s="6" t="s">
        <v>6</v>
      </c>
      <c r="C34" s="15">
        <f>C33/C30</f>
        <v>11.456000000000001</v>
      </c>
      <c r="D34" s="15">
        <f t="shared" ref="D34:G34" si="1">D33/D30</f>
        <v>1.1879999999999999</v>
      </c>
      <c r="E34" s="15">
        <f t="shared" si="1"/>
        <v>4.1280000000000001</v>
      </c>
      <c r="F34" s="15">
        <f t="shared" si="1"/>
        <v>5.96</v>
      </c>
      <c r="G34" s="15">
        <f t="shared" si="1"/>
        <v>8.5920000000000005</v>
      </c>
      <c r="I34" s="27" t="s">
        <v>2</v>
      </c>
      <c r="J34" s="22">
        <f>D30</f>
        <v>300</v>
      </c>
      <c r="O34" s="29"/>
    </row>
    <row r="35" spans="2:15" x14ac:dyDescent="0.3">
      <c r="B35" s="6" t="s">
        <v>21</v>
      </c>
      <c r="C35" s="19">
        <v>5</v>
      </c>
      <c r="D35" s="19">
        <v>1.5</v>
      </c>
      <c r="E35" s="19">
        <v>3.5</v>
      </c>
      <c r="F35" s="19">
        <v>5</v>
      </c>
      <c r="G35" s="19">
        <v>10</v>
      </c>
      <c r="I35" s="30" t="s">
        <v>45</v>
      </c>
      <c r="J35" s="31">
        <f>J33-J34</f>
        <v>-240.6</v>
      </c>
      <c r="K35" s="31">
        <f>J35+(K33-J33)-K34</f>
        <v>-181.2</v>
      </c>
      <c r="L35" s="31">
        <f>K35+(L33-K33)-L34</f>
        <v>-121.8</v>
      </c>
      <c r="M35" s="31">
        <f>L35+(M33-L33)-M34</f>
        <v>-62.399999999999991</v>
      </c>
      <c r="N35" s="31">
        <f>M35+(N33-M33)-N34</f>
        <v>-2.9999999999999858</v>
      </c>
      <c r="O35" s="32">
        <f>N35+(O33-N33)-O34</f>
        <v>56.399999999999991</v>
      </c>
    </row>
    <row r="36" spans="2:15" x14ac:dyDescent="0.3">
      <c r="B36" s="6" t="s">
        <v>10</v>
      </c>
      <c r="C36" s="17">
        <f>IF(C30&gt;C33,"Never",C30/C32)</f>
        <v>2.0949720670391061</v>
      </c>
      <c r="D36" s="17">
        <f>IF(D30&gt;D33,"Never",D30/D32)</f>
        <v>5.0505050505050511</v>
      </c>
      <c r="E36" s="17">
        <f>IF(E30&gt;E33,"Never",E30/E32)</f>
        <v>2.9069767441860463</v>
      </c>
      <c r="F36" s="17">
        <f>IF(F30&gt;F33,"Never",F30/F32)</f>
        <v>2.5167785234899327</v>
      </c>
      <c r="G36" s="17">
        <f>IF(G30&gt;G33,"Never",G30/G32)</f>
        <v>2.0949720670391061</v>
      </c>
    </row>
    <row r="37" spans="2:15" x14ac:dyDescent="0.3">
      <c r="B37" s="6" t="s">
        <v>23</v>
      </c>
      <c r="C37" s="18" t="s">
        <v>24</v>
      </c>
      <c r="D37" s="18" t="s">
        <v>18</v>
      </c>
      <c r="E37" s="18" t="s">
        <v>54</v>
      </c>
      <c r="F37" s="18" t="s">
        <v>20</v>
      </c>
      <c r="G37" s="18" t="s">
        <v>19</v>
      </c>
      <c r="H37" s="20" t="s">
        <v>25</v>
      </c>
    </row>
    <row r="38" spans="2:15" x14ac:dyDescent="0.3">
      <c r="B38" s="1"/>
    </row>
    <row r="39" spans="2:15" x14ac:dyDescent="0.3">
      <c r="B39" s="44" t="s">
        <v>9</v>
      </c>
    </row>
    <row r="40" spans="2:15" x14ac:dyDescent="0.3">
      <c r="B40" s="6" t="s">
        <v>2</v>
      </c>
      <c r="C40" s="16">
        <v>300</v>
      </c>
      <c r="D40" s="39">
        <v>325</v>
      </c>
      <c r="E40" s="39">
        <v>450</v>
      </c>
      <c r="F40" s="39">
        <v>650</v>
      </c>
      <c r="G40" s="39">
        <v>850</v>
      </c>
    </row>
    <row r="41" spans="2:15" x14ac:dyDescent="0.3">
      <c r="B41" s="6" t="s">
        <v>53</v>
      </c>
      <c r="C41" s="16">
        <v>179</v>
      </c>
      <c r="D41" s="16">
        <v>99</v>
      </c>
      <c r="E41" s="16">
        <v>129</v>
      </c>
      <c r="F41" s="16">
        <v>149</v>
      </c>
      <c r="G41" s="16">
        <v>179</v>
      </c>
    </row>
    <row r="42" spans="2:15" x14ac:dyDescent="0.3">
      <c r="B42" s="6" t="s">
        <v>46</v>
      </c>
      <c r="C42" s="16">
        <f>C41*0.8</f>
        <v>143.20000000000002</v>
      </c>
      <c r="D42" s="16">
        <f>D41*0.6</f>
        <v>59.4</v>
      </c>
      <c r="E42" s="16">
        <f>E41*0.8</f>
        <v>103.2</v>
      </c>
      <c r="F42" s="16">
        <f>F41*0.8</f>
        <v>119.2</v>
      </c>
      <c r="G42" s="16">
        <f>G41*0.8</f>
        <v>143.20000000000002</v>
      </c>
    </row>
    <row r="43" spans="2:15" x14ac:dyDescent="0.3">
      <c r="B43" s="6" t="s">
        <v>3</v>
      </c>
      <c r="C43" s="16">
        <f>C42*24</f>
        <v>3436.8</v>
      </c>
      <c r="D43" s="39">
        <f>D42*4.5</f>
        <v>267.3</v>
      </c>
      <c r="E43" s="39">
        <f>E42*6</f>
        <v>619.20000000000005</v>
      </c>
      <c r="F43" s="39">
        <f>F42*9</f>
        <v>1072.8</v>
      </c>
      <c r="G43" s="39">
        <f>G42*14</f>
        <v>2004.8000000000002</v>
      </c>
      <c r="I43" s="16"/>
    </row>
    <row r="44" spans="2:15" x14ac:dyDescent="0.3">
      <c r="B44" s="6" t="s">
        <v>6</v>
      </c>
      <c r="C44" s="15">
        <f>C43/C40</f>
        <v>11.456000000000001</v>
      </c>
      <c r="D44" s="15">
        <f t="shared" ref="D44:G44" si="2">D43/D40</f>
        <v>0.82246153846153847</v>
      </c>
      <c r="E44" s="15">
        <f t="shared" si="2"/>
        <v>1.3760000000000001</v>
      </c>
      <c r="F44" s="15">
        <f t="shared" si="2"/>
        <v>1.6504615384615384</v>
      </c>
      <c r="G44" s="15">
        <f t="shared" si="2"/>
        <v>2.3585882352941177</v>
      </c>
      <c r="I44" s="15"/>
    </row>
    <row r="45" spans="2:15" x14ac:dyDescent="0.3">
      <c r="B45" s="6" t="s">
        <v>21</v>
      </c>
      <c r="C45" s="19">
        <v>5</v>
      </c>
      <c r="D45" s="19">
        <v>1.5</v>
      </c>
      <c r="E45" s="19">
        <v>3.5</v>
      </c>
      <c r="F45" s="19">
        <v>5</v>
      </c>
      <c r="G45" s="19">
        <v>10</v>
      </c>
    </row>
    <row r="46" spans="2:15" x14ac:dyDescent="0.3">
      <c r="B46" s="6" t="s">
        <v>10</v>
      </c>
      <c r="C46" s="17">
        <f>IF(C40&gt;C43,"Never",C40/C42)</f>
        <v>2.0949720670391061</v>
      </c>
      <c r="D46" s="17" t="str">
        <f>IF(D40&gt;D43,"Never",D40/D42)</f>
        <v>Never</v>
      </c>
      <c r="E46" s="17">
        <f>IF(E40&gt;E43,"Never",E40/E42)</f>
        <v>4.3604651162790695</v>
      </c>
      <c r="F46" s="17">
        <f>IF(F40&gt;F43,"Never",F40/F42)</f>
        <v>5.4530201342281881</v>
      </c>
      <c r="G46" s="17">
        <f>IF(G40&gt;G43,"Never",G40/G42)</f>
        <v>5.9357541899441335</v>
      </c>
    </row>
    <row r="47" spans="2:15" x14ac:dyDescent="0.3">
      <c r="B47" s="6" t="s">
        <v>23</v>
      </c>
      <c r="C47" s="18" t="s">
        <v>24</v>
      </c>
      <c r="D47" s="18" t="s">
        <v>18</v>
      </c>
      <c r="E47" s="18" t="s">
        <v>18</v>
      </c>
      <c r="F47" s="18" t="s">
        <v>20</v>
      </c>
      <c r="G47" s="18" t="s">
        <v>19</v>
      </c>
      <c r="H47" s="20" t="s">
        <v>25</v>
      </c>
    </row>
  </sheetData>
  <mergeCells count="1">
    <mergeCell ref="B22:G22"/>
  </mergeCells>
  <phoneticPr fontId="11" type="noConversion"/>
  <conditionalFormatting sqref="J35:O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eric andrews</cp:lastModifiedBy>
  <dcterms:created xsi:type="dcterms:W3CDTF">2023-04-17T16:28:04Z</dcterms:created>
  <dcterms:modified xsi:type="dcterms:W3CDTF">2023-04-21T18:14:16Z</dcterms:modified>
</cp:coreProperties>
</file>