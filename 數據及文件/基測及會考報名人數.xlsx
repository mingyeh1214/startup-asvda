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5~102年" sheetId="1" r:id="rId5"/>
    <sheet state="visible" name="103年起" sheetId="2" r:id="rId6"/>
  </sheets>
  <definedNames/>
  <calcPr/>
</workbook>
</file>

<file path=xl/sharedStrings.xml><?xml version="1.0" encoding="utf-8"?>
<sst xmlns="http://schemas.openxmlformats.org/spreadsheetml/2006/main" count="42" uniqueCount="36">
  <si>
    <t>103-6 參加國中基本能力測驗人數-按性別與年別分</t>
  </si>
  <si>
    <r>
      <rPr>
        <rFont val="Times New Roman"/>
        <color rgb="FF000000"/>
        <sz val="10.0"/>
      </rPr>
      <t xml:space="preserve">  </t>
    </r>
    <r>
      <rPr>
        <rFont val="新細明體"/>
        <color rgb="FF000000"/>
        <sz val="10.0"/>
      </rPr>
      <t>年</t>
    </r>
  </si>
  <si>
    <t>參   加   國   中   基   測   學   生   人   數</t>
  </si>
  <si>
    <t>總計</t>
  </si>
  <si>
    <t>男</t>
  </si>
  <si>
    <t>女</t>
  </si>
  <si>
    <r>
      <rPr>
        <rFont val="Times New Roman"/>
        <color rgb="FF000000"/>
        <sz val="10.0"/>
      </rPr>
      <t xml:space="preserve"> </t>
    </r>
    <r>
      <rPr>
        <rFont val="細明體"/>
        <color rgb="FF000000"/>
        <sz val="10.0"/>
      </rPr>
      <t>人</t>
    </r>
    <r>
      <rPr>
        <rFont val="Times New Roman"/>
        <color rgb="FF000000"/>
        <sz val="10.0"/>
      </rPr>
      <t xml:space="preserve">   </t>
    </r>
    <r>
      <rPr>
        <rFont val="細明體"/>
        <color rgb="FF000000"/>
        <sz val="10.0"/>
      </rPr>
      <t>數</t>
    </r>
  </si>
  <si>
    <t>％</t>
  </si>
  <si>
    <r>
      <rPr>
        <rFont val="Times New Roman"/>
        <color rgb="FF000000"/>
        <sz val="10.0"/>
      </rPr>
      <t xml:space="preserve"> </t>
    </r>
    <r>
      <rPr>
        <rFont val="細明體"/>
        <color rgb="FF000000"/>
        <sz val="10.0"/>
      </rPr>
      <t>人</t>
    </r>
    <r>
      <rPr>
        <rFont val="Times New Roman"/>
        <color rgb="FF000000"/>
        <sz val="10.0"/>
      </rPr>
      <t xml:space="preserve">   </t>
    </r>
    <r>
      <rPr>
        <rFont val="細明體"/>
        <color rgb="FF000000"/>
        <sz val="10.0"/>
      </rPr>
      <t>數</t>
    </r>
  </si>
  <si>
    <r>
      <rPr>
        <rFont val="Times New Roman"/>
        <color rgb="FF000000"/>
        <sz val="12.0"/>
      </rPr>
      <t>92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</si>
  <si>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93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</si>
  <si>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94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</si>
  <si>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95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</si>
  <si>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96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</si>
  <si>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97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</si>
  <si>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98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</si>
  <si>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99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</si>
  <si>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100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</si>
  <si>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101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</si>
  <si>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102</t>
    </r>
    <r>
      <rPr>
        <rFont val="細明體"/>
        <color rgb="FF000000"/>
        <sz val="12.0"/>
      </rPr>
      <t>年</t>
    </r>
  </si>
  <si>
    <t>103-6 參加國中教育會考測驗人數-按性別與年別分</t>
  </si>
  <si>
    <r>
      <rPr>
        <rFont val="Times New Roman"/>
        <color rgb="FF000000"/>
        <sz val="10.0"/>
      </rPr>
      <t xml:space="preserve">  </t>
    </r>
    <r>
      <rPr>
        <rFont val="新細明體"/>
        <color rgb="FF000000"/>
        <sz val="10.0"/>
      </rPr>
      <t>年</t>
    </r>
  </si>
  <si>
    <t>參   加   國   中   教   育   會   考   學   生   人   數</t>
  </si>
  <si>
    <r>
      <rPr>
        <rFont val="Times New Roman"/>
        <color rgb="FF000000"/>
        <sz val="10.0"/>
      </rPr>
      <t xml:space="preserve"> </t>
    </r>
    <r>
      <rPr>
        <rFont val="細明體"/>
        <color rgb="FF000000"/>
        <sz val="10.0"/>
      </rPr>
      <t>人</t>
    </r>
    <r>
      <rPr>
        <rFont val="Times New Roman"/>
        <color rgb="FF000000"/>
        <sz val="10.0"/>
      </rPr>
      <t xml:space="preserve">   </t>
    </r>
    <r>
      <rPr>
        <rFont val="細明體"/>
        <color rgb="FF000000"/>
        <sz val="10.0"/>
      </rPr>
      <t>數</t>
    </r>
  </si>
  <si>
    <r>
      <rPr>
        <rFont val="Times New Roman"/>
        <color rgb="FF000000"/>
        <sz val="10.0"/>
      </rPr>
      <t xml:space="preserve"> </t>
    </r>
    <r>
      <rPr>
        <rFont val="細明體"/>
        <color rgb="FF000000"/>
        <sz val="10.0"/>
      </rPr>
      <t>人</t>
    </r>
    <r>
      <rPr>
        <rFont val="Times New Roman"/>
        <color rgb="FF000000"/>
        <sz val="10.0"/>
      </rPr>
      <t xml:space="preserve">   </t>
    </r>
    <r>
      <rPr>
        <rFont val="細明體"/>
        <color rgb="FF000000"/>
        <sz val="10.0"/>
      </rPr>
      <t>數</t>
    </r>
  </si>
  <si>
    <r>
      <rPr>
        <rFont val="Times New Roman"/>
        <color rgb="FF000000"/>
        <sz val="12.0"/>
      </rPr>
      <t>103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</si>
  <si>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104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</si>
  <si>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105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</si>
  <si>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106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</si>
  <si>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107</t>
    </r>
    <r>
      <rPr>
        <rFont val="細明體"/>
        <color rgb="FF000000"/>
        <sz val="12.0"/>
      </rPr>
      <t>年</t>
    </r>
  </si>
  <si>
    <r>
      <rPr>
        <rFont val="Times New Roman"/>
        <color rgb="FF000000"/>
        <sz val="12.0"/>
      </rPr>
      <t>108</t>
    </r>
    <r>
      <rPr>
        <rFont val="細明體"/>
        <color rgb="FF000000"/>
        <sz val="12.0"/>
      </rPr>
      <t>年</t>
    </r>
  </si>
  <si>
    <t>109年</t>
  </si>
  <si>
    <r>
      <rPr>
        <rFont val="Times New Roman"/>
        <color rgb="FF000000"/>
        <sz val="12.0"/>
      </rPr>
      <t>110</t>
    </r>
    <r>
      <rPr>
        <rFont val="新細明體"/>
        <color rgb="FF000000"/>
        <sz val="12.0"/>
      </rPr>
      <t>年</t>
    </r>
  </si>
  <si>
    <t>111年</t>
  </si>
  <si>
    <r>
      <rPr>
        <rFont val="Times New Roman"/>
        <color rgb="FF000000"/>
        <sz val="12.0"/>
      </rPr>
      <t>112</t>
    </r>
    <r>
      <rPr>
        <rFont val="新細明體"/>
        <color rgb="FF000000"/>
        <sz val="12.0"/>
      </rPr>
      <t>年</t>
    </r>
  </si>
  <si>
    <r>
      <rPr>
        <rFont val="Times New Roman"/>
        <color rgb="FF000000"/>
        <sz val="12.0"/>
      </rPr>
      <t>113</t>
    </r>
    <r>
      <rPr>
        <rFont val="新細明體"/>
        <color rgb="FF000000"/>
        <sz val="12.0"/>
      </rPr>
      <t>年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</si>
</sst>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#,##0_);[Red]\(#,##0\)"/>
    <numFmt numFmtId="166" formatCode="0.00_ "/>
  </numFmts>
  <fonts count="8">
    <font>
      <sz val="12.0"/>
      <color rgb="FF000000"/>
      <name val="PMingLiu"/>
      <scheme val="minor"/>
    </font>
    <font>
      <b/>
      <sz val="12.0"/>
      <color rgb="FF000000"/>
      <name val="PMingLiu"/>
    </font>
    <font>
      <sz val="12.0"/>
      <color rgb="FF000000"/>
      <name val="PMingLiu"/>
    </font>
    <font>
      <sz val="10.0"/>
      <color rgb="FF000000"/>
      <name val="Times New Roman"/>
    </font>
    <font>
      <sz val="10.0"/>
      <color rgb="FF000000"/>
      <name val="PMingLiu"/>
    </font>
    <font/>
    <font>
      <sz val="10.0"/>
      <color rgb="FF000000"/>
      <name val="MingLiu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3">
    <border/>
    <border>
      <left/>
      <right/>
      <top style="medium">
        <color rgb="FF000000"/>
      </top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6" fillId="2" fontId="4" numFmtId="0" xfId="0" applyAlignment="1" applyBorder="1" applyFont="1">
      <alignment horizontal="center"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2" fillId="2" fontId="3" numFmtId="0" xfId="0" applyAlignment="1" applyBorder="1" applyFont="1">
      <alignment horizontal="center" shrinkToFit="0" vertical="center" wrapText="0"/>
    </xf>
    <xf borderId="12" fillId="2" fontId="6" numFmtId="0" xfId="0" applyAlignment="1" applyBorder="1" applyFont="1">
      <alignment horizontal="center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13" fillId="0" fontId="7" numFmtId="165" xfId="0" applyAlignment="1" applyBorder="1" applyFont="1" applyNumberForma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0" fontId="7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4" fillId="0" fontId="7" numFmtId="164" xfId="0" applyAlignment="1" applyBorder="1" applyFont="1" applyNumberFormat="1">
      <alignment horizontal="center" shrinkToFit="0" vertical="center" wrapText="0"/>
    </xf>
    <xf borderId="15" fillId="0" fontId="7" numFmtId="165" xfId="0" applyAlignment="1" applyBorder="1" applyFont="1" applyNumberFormat="1">
      <alignment horizontal="center" shrinkToFit="0" vertical="center" wrapText="0"/>
    </xf>
    <xf borderId="16" fillId="0" fontId="7" numFmtId="165" xfId="0" applyAlignment="1" applyBorder="1" applyFont="1" applyNumberFormat="1">
      <alignment horizontal="center" shrinkToFit="0" vertical="center" wrapText="0"/>
    </xf>
    <xf borderId="16" fillId="0" fontId="7" numFmtId="166" xfId="0" applyAlignment="1" applyBorder="1" applyFont="1" applyNumberFormat="1">
      <alignment horizontal="center" shrinkToFit="0" vertical="center" wrapText="0"/>
    </xf>
    <xf borderId="0" fillId="0" fontId="7" numFmtId="2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7" fillId="0" fontId="5" numFmtId="0" xfId="0" applyAlignment="1" applyBorder="1" applyFont="1">
      <alignment vertical="center"/>
    </xf>
    <xf borderId="18" fillId="2" fontId="3" numFmtId="0" xfId="0" applyAlignment="1" applyBorder="1" applyFont="1">
      <alignment horizontal="center" shrinkToFit="0" vertical="center" wrapText="0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21" fillId="0" fontId="7" numFmtId="164" xfId="0" applyAlignment="1" applyBorder="1" applyFont="1" applyNumberFormat="1">
      <alignment horizontal="center" shrinkToFit="0" vertical="center" wrapText="0"/>
    </xf>
    <xf borderId="22" fillId="0" fontId="7" numFmtId="166" xfId="0" applyAlignment="1" applyBorder="1" applyFont="1" applyNumberFormat="1">
      <alignment horizontal="center" shrinkToFit="0" vertical="center" wrapText="0"/>
    </xf>
    <xf borderId="22" fillId="0" fontId="7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1.22" defaultRowHeight="15.0"/>
  <cols>
    <col customWidth="1" min="1" max="6" width="11.89"/>
    <col customWidth="1" min="7" max="7" width="10.0"/>
    <col customWidth="1" min="8" max="26" width="8.0"/>
  </cols>
  <sheetData>
    <row r="1" ht="30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1</v>
      </c>
      <c r="B2" s="4" t="s">
        <v>2</v>
      </c>
      <c r="C2" s="5"/>
      <c r="D2" s="5"/>
      <c r="E2" s="5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7"/>
      <c r="B3" s="8" t="s">
        <v>3</v>
      </c>
      <c r="C3" s="9" t="s">
        <v>4</v>
      </c>
      <c r="D3" s="10"/>
      <c r="E3" s="9" t="s">
        <v>5</v>
      </c>
      <c r="F3" s="1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2"/>
      <c r="B4" s="13"/>
      <c r="C4" s="14" t="s">
        <v>6</v>
      </c>
      <c r="D4" s="15" t="s">
        <v>7</v>
      </c>
      <c r="E4" s="14" t="s">
        <v>8</v>
      </c>
      <c r="F4" s="15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16" t="s">
        <v>9</v>
      </c>
      <c r="B5" s="17">
        <v>313239.0</v>
      </c>
      <c r="C5" s="18">
        <v>163189.0</v>
      </c>
      <c r="D5" s="19">
        <f t="shared" ref="D5:D15" si="1">C5/B5*100</f>
        <v>52.09728035</v>
      </c>
      <c r="E5" s="18">
        <v>150050.0</v>
      </c>
      <c r="F5" s="19">
        <f t="shared" ref="F5:F15" si="2">100-D5</f>
        <v>47.90271965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6" t="s">
        <v>10</v>
      </c>
      <c r="B6" s="17">
        <f t="shared" ref="B6:B13" si="3">C6+E6</f>
        <v>314675</v>
      </c>
      <c r="C6" s="18">
        <v>164216.0</v>
      </c>
      <c r="D6" s="19">
        <f t="shared" si="1"/>
        <v>52.18590609</v>
      </c>
      <c r="E6" s="18">
        <v>150459.0</v>
      </c>
      <c r="F6" s="19">
        <f t="shared" si="2"/>
        <v>47.81409391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6" t="s">
        <v>11</v>
      </c>
      <c r="B7" s="17">
        <f t="shared" si="3"/>
        <v>322330</v>
      </c>
      <c r="C7" s="18">
        <v>168633.0</v>
      </c>
      <c r="D7" s="19">
        <f t="shared" si="1"/>
        <v>52.31688022</v>
      </c>
      <c r="E7" s="18">
        <v>153697.0</v>
      </c>
      <c r="F7" s="19">
        <f t="shared" si="2"/>
        <v>47.68311978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4.75" customHeight="1">
      <c r="A8" s="16" t="s">
        <v>12</v>
      </c>
      <c r="B8" s="17">
        <f t="shared" si="3"/>
        <v>316686</v>
      </c>
      <c r="C8" s="18">
        <v>166384.0</v>
      </c>
      <c r="D8" s="19">
        <f t="shared" si="1"/>
        <v>52.53910814</v>
      </c>
      <c r="E8" s="18">
        <v>150302.0</v>
      </c>
      <c r="F8" s="19">
        <f t="shared" si="2"/>
        <v>47.46089186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6" t="s">
        <v>13</v>
      </c>
      <c r="B9" s="17">
        <f t="shared" si="3"/>
        <v>314974</v>
      </c>
      <c r="C9" s="18">
        <v>164790.0</v>
      </c>
      <c r="D9" s="19">
        <f t="shared" si="1"/>
        <v>52.31860408</v>
      </c>
      <c r="E9" s="18">
        <v>150184.0</v>
      </c>
      <c r="F9" s="19">
        <f t="shared" si="2"/>
        <v>47.68139592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4.75" customHeight="1">
      <c r="A10" s="16" t="s">
        <v>14</v>
      </c>
      <c r="B10" s="17">
        <f t="shared" si="3"/>
        <v>317928</v>
      </c>
      <c r="C10" s="18">
        <v>165528.0</v>
      </c>
      <c r="D10" s="19">
        <f t="shared" si="1"/>
        <v>52.0646184</v>
      </c>
      <c r="E10" s="18">
        <v>152400.0</v>
      </c>
      <c r="F10" s="19">
        <f t="shared" si="2"/>
        <v>47.9353816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4.75" customHeight="1">
      <c r="A11" s="16" t="s">
        <v>15</v>
      </c>
      <c r="B11" s="17">
        <f t="shared" si="3"/>
        <v>315408</v>
      </c>
      <c r="C11" s="18">
        <v>164471.0</v>
      </c>
      <c r="D11" s="19">
        <f t="shared" si="1"/>
        <v>52.14547507</v>
      </c>
      <c r="E11" s="18">
        <v>150937.0</v>
      </c>
      <c r="F11" s="19">
        <f t="shared" si="2"/>
        <v>47.85452493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16" t="s">
        <v>16</v>
      </c>
      <c r="B12" s="17">
        <f t="shared" si="3"/>
        <v>300864</v>
      </c>
      <c r="C12" s="18">
        <v>158175.0</v>
      </c>
      <c r="D12" s="19">
        <f t="shared" si="1"/>
        <v>52.57358807</v>
      </c>
      <c r="E12" s="18">
        <v>142689.0</v>
      </c>
      <c r="F12" s="19">
        <f t="shared" si="2"/>
        <v>47.42641193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16" t="s">
        <v>17</v>
      </c>
      <c r="B13" s="17">
        <f t="shared" si="3"/>
        <v>276735</v>
      </c>
      <c r="C13" s="18">
        <v>147132.0</v>
      </c>
      <c r="D13" s="19">
        <f t="shared" si="1"/>
        <v>53.16710933</v>
      </c>
      <c r="E13" s="18">
        <v>129603.0</v>
      </c>
      <c r="F13" s="19">
        <f t="shared" si="2"/>
        <v>46.83289067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6" t="s">
        <v>18</v>
      </c>
      <c r="B14" s="17">
        <v>226394.0</v>
      </c>
      <c r="C14" s="18">
        <v>121814.0</v>
      </c>
      <c r="D14" s="19">
        <f t="shared" si="1"/>
        <v>53.80619628</v>
      </c>
      <c r="E14" s="18">
        <v>104580.0</v>
      </c>
      <c r="F14" s="19">
        <f t="shared" si="2"/>
        <v>46.19380372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1" t="s">
        <v>19</v>
      </c>
      <c r="B15" s="22">
        <v>171681.0</v>
      </c>
      <c r="C15" s="23">
        <v>92444.0</v>
      </c>
      <c r="D15" s="24">
        <f t="shared" si="1"/>
        <v>53.84637788</v>
      </c>
      <c r="E15" s="23">
        <v>79237.0</v>
      </c>
      <c r="F15" s="24">
        <f t="shared" si="2"/>
        <v>46.15362212</v>
      </c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F1"/>
    <mergeCell ref="A2:A4"/>
    <mergeCell ref="B2:F2"/>
    <mergeCell ref="B3:B4"/>
    <mergeCell ref="C3:D3"/>
    <mergeCell ref="E3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89"/>
    <col customWidth="1" min="7" max="26" width="8.0"/>
  </cols>
  <sheetData>
    <row r="1" ht="30.0" customHeight="1">
      <c r="A1" s="27" t="s">
        <v>20</v>
      </c>
      <c r="B1" s="28"/>
      <c r="C1" s="28"/>
      <c r="D1" s="28"/>
      <c r="E1" s="28"/>
      <c r="F1" s="28"/>
    </row>
    <row r="2" ht="15.75" customHeight="1">
      <c r="A2" s="29" t="s">
        <v>21</v>
      </c>
      <c r="B2" s="4" t="s">
        <v>22</v>
      </c>
      <c r="C2" s="5"/>
      <c r="D2" s="5"/>
      <c r="E2" s="5"/>
      <c r="F2" s="6"/>
    </row>
    <row r="3" ht="15.75" customHeight="1">
      <c r="A3" s="30"/>
      <c r="B3" s="8" t="s">
        <v>3</v>
      </c>
      <c r="C3" s="9" t="s">
        <v>4</v>
      </c>
      <c r="D3" s="10"/>
      <c r="E3" s="9" t="s">
        <v>5</v>
      </c>
      <c r="F3" s="11"/>
    </row>
    <row r="4" ht="15.75" customHeight="1">
      <c r="A4" s="31"/>
      <c r="B4" s="13"/>
      <c r="C4" s="14" t="s">
        <v>23</v>
      </c>
      <c r="D4" s="15" t="s">
        <v>7</v>
      </c>
      <c r="E4" s="14" t="s">
        <v>24</v>
      </c>
      <c r="F4" s="15" t="s">
        <v>7</v>
      </c>
    </row>
    <row r="5" ht="24.75" customHeight="1">
      <c r="A5" s="32" t="s">
        <v>25</v>
      </c>
      <c r="B5" s="17">
        <f t="shared" ref="B5:B10" si="1">C5+E5</f>
        <v>271217</v>
      </c>
      <c r="C5" s="18">
        <v>141224.0</v>
      </c>
      <c r="D5" s="33">
        <f t="shared" ref="D5:D10" si="2">C5/B5*100</f>
        <v>52.07048231</v>
      </c>
      <c r="E5" s="34">
        <v>129993.0</v>
      </c>
      <c r="F5" s="33">
        <f t="shared" ref="F5:F10" si="3">E5/B5*100</f>
        <v>47.92951769</v>
      </c>
    </row>
    <row r="6" ht="24.75" customHeight="1">
      <c r="A6" s="32" t="s">
        <v>26</v>
      </c>
      <c r="B6" s="18">
        <f t="shared" si="1"/>
        <v>285331</v>
      </c>
      <c r="C6" s="18">
        <v>149215.0</v>
      </c>
      <c r="D6" s="19">
        <f t="shared" si="2"/>
        <v>52.29540428</v>
      </c>
      <c r="E6" s="18">
        <v>136116.0</v>
      </c>
      <c r="F6" s="19">
        <f t="shared" si="3"/>
        <v>47.70459572</v>
      </c>
    </row>
    <row r="7" ht="24.75" customHeight="1">
      <c r="A7" s="32" t="s">
        <v>27</v>
      </c>
      <c r="B7" s="18">
        <f t="shared" si="1"/>
        <v>275515</v>
      </c>
      <c r="C7" s="18">
        <v>143475.0</v>
      </c>
      <c r="D7" s="19">
        <f t="shared" si="2"/>
        <v>52.07520462</v>
      </c>
      <c r="E7" s="18">
        <v>132040.0</v>
      </c>
      <c r="F7" s="19">
        <f t="shared" si="3"/>
        <v>47.92479538</v>
      </c>
    </row>
    <row r="8" ht="24.75" customHeight="1">
      <c r="A8" s="32" t="s">
        <v>28</v>
      </c>
      <c r="B8" s="18">
        <f t="shared" si="1"/>
        <v>243592</v>
      </c>
      <c r="C8" s="18">
        <v>127182.0</v>
      </c>
      <c r="D8" s="19">
        <f t="shared" si="2"/>
        <v>52.21107426</v>
      </c>
      <c r="E8" s="18">
        <v>116410.0</v>
      </c>
      <c r="F8" s="19">
        <f t="shared" si="3"/>
        <v>47.78892574</v>
      </c>
    </row>
    <row r="9" ht="24.75" customHeight="1">
      <c r="A9" s="32" t="s">
        <v>29</v>
      </c>
      <c r="B9" s="18">
        <f t="shared" si="1"/>
        <v>230438</v>
      </c>
      <c r="C9" s="18">
        <v>120454.0</v>
      </c>
      <c r="D9" s="19">
        <f t="shared" si="2"/>
        <v>52.27176073</v>
      </c>
      <c r="E9" s="18">
        <v>109984.0</v>
      </c>
      <c r="F9" s="19">
        <f t="shared" si="3"/>
        <v>47.72823927</v>
      </c>
    </row>
    <row r="10" ht="24.75" customHeight="1">
      <c r="A10" s="32" t="s">
        <v>30</v>
      </c>
      <c r="B10" s="18">
        <f t="shared" si="1"/>
        <v>215237</v>
      </c>
      <c r="C10" s="18">
        <v>113229.0</v>
      </c>
      <c r="D10" s="19">
        <f t="shared" si="2"/>
        <v>52.60666149</v>
      </c>
      <c r="E10" s="18">
        <v>102008.0</v>
      </c>
      <c r="F10" s="19">
        <f t="shared" si="3"/>
        <v>47.39333851</v>
      </c>
    </row>
    <row r="11" ht="24.75" customHeight="1">
      <c r="A11" s="32" t="s">
        <v>31</v>
      </c>
      <c r="B11" s="18">
        <v>209109.0</v>
      </c>
      <c r="C11" s="18">
        <v>108832.0</v>
      </c>
      <c r="D11" s="19">
        <v>52.045583882090206</v>
      </c>
      <c r="E11" s="18">
        <v>100277.0</v>
      </c>
      <c r="F11" s="19">
        <v>47.9544161179098</v>
      </c>
    </row>
    <row r="12" ht="24.75" customHeight="1">
      <c r="A12" s="32" t="s">
        <v>32</v>
      </c>
      <c r="B12" s="18">
        <v>202577.0</v>
      </c>
      <c r="C12" s="18">
        <v>106051.0</v>
      </c>
      <c r="D12" s="19">
        <v>52.3509579073636</v>
      </c>
      <c r="E12" s="18">
        <v>96526.0</v>
      </c>
      <c r="F12" s="19">
        <v>47.6490420926364</v>
      </c>
    </row>
    <row r="13" ht="24.75" customHeight="1">
      <c r="A13" s="32" t="s">
        <v>33</v>
      </c>
      <c r="B13" s="18">
        <v>199340.0</v>
      </c>
      <c r="C13" s="18">
        <v>103916.0</v>
      </c>
      <c r="D13" s="19">
        <v>52.13002909601686</v>
      </c>
      <c r="E13" s="18">
        <v>95424.0</v>
      </c>
      <c r="F13" s="19">
        <v>47.869970903983145</v>
      </c>
    </row>
    <row r="14" ht="24.75" customHeight="1">
      <c r="A14" s="16" t="s">
        <v>34</v>
      </c>
      <c r="B14" s="17">
        <v>198700.0</v>
      </c>
      <c r="C14" s="18">
        <v>103926.0</v>
      </c>
      <c r="D14" s="19">
        <v>52.302969300452936</v>
      </c>
      <c r="E14" s="18">
        <v>94774.0</v>
      </c>
      <c r="F14" s="19">
        <v>47.69703069954706</v>
      </c>
    </row>
    <row r="15" ht="24.75" customHeight="1">
      <c r="A15" s="21" t="s">
        <v>35</v>
      </c>
      <c r="B15" s="23">
        <v>190208.0</v>
      </c>
      <c r="C15" s="23">
        <v>99050.0</v>
      </c>
      <c r="D15" s="24">
        <v>52.07457099596231</v>
      </c>
      <c r="E15" s="23">
        <v>91158.0</v>
      </c>
      <c r="F15" s="24">
        <v>47.92542900403768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A4"/>
    <mergeCell ref="B2:F2"/>
    <mergeCell ref="B3:B4"/>
    <mergeCell ref="C3:D3"/>
    <mergeCell ref="E3:F3"/>
  </mergeCells>
  <printOptions/>
  <pageMargins bottom="0.75" footer="0.0" header="0.0" left="0.7" right="0.7" top="0.75"/>
  <pageSetup orientation="landscape"/>
  <drawing r:id="rId1"/>
</worksheet>
</file>