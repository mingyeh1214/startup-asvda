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226178\Desktop\GitHub\startup-asvda\03.商業計畫書BootCamp\"/>
    </mc:Choice>
  </mc:AlternateContent>
  <xr:revisionPtr revIDLastSave="0" documentId="13_ncr:1_{52675DD8-FF44-4522-ACA1-2D92A82ECF03}" xr6:coauthVersionLast="36" xr6:coauthVersionMax="36" xr10:uidLastSave="{00000000-0000-0000-0000-000000000000}"/>
  <bookViews>
    <workbookView xWindow="0" yWindow="0" windowWidth="14376" windowHeight="3924" activeTab="1" xr2:uid="{00000000-000D-0000-FFFF-FFFF00000000}"/>
  </bookViews>
  <sheets>
    <sheet name="一對一業師輔導媒合結果" sheetId="1" r:id="rId1"/>
    <sheet name="工作表2" sheetId="3" r:id="rId2"/>
  </sheets>
  <definedNames>
    <definedName name="_xlnm._FilterDatabase" localSheetId="0" hidden="1">一對一業師輔導媒合結果!$A$1:$E$301</definedName>
  </definedNames>
  <calcPr calcId="191029"/>
  <pivotCaches>
    <pivotCache cacheId="2" r:id="rId3"/>
  </pivotCaches>
</workbook>
</file>

<file path=xl/calcChain.xml><?xml version="1.0" encoding="utf-8"?>
<calcChain xmlns="http://schemas.openxmlformats.org/spreadsheetml/2006/main">
  <c r="B301" i="1" l="1"/>
  <c r="A301" i="1"/>
  <c r="B300" i="1"/>
  <c r="A300" i="1"/>
  <c r="B299" i="1"/>
  <c r="A299" i="1"/>
  <c r="B298" i="1"/>
  <c r="A298" i="1"/>
  <c r="B297" i="1"/>
  <c r="A297" i="1"/>
  <c r="B296" i="1"/>
  <c r="A296" i="1"/>
  <c r="B295" i="1"/>
  <c r="A295" i="1"/>
  <c r="B294" i="1"/>
  <c r="A294" i="1"/>
  <c r="B293" i="1"/>
  <c r="A293" i="1"/>
  <c r="B292" i="1"/>
  <c r="A292" i="1"/>
  <c r="B291" i="1"/>
  <c r="A291" i="1"/>
  <c r="B290" i="1"/>
  <c r="A290" i="1"/>
  <c r="B289" i="1"/>
  <c r="A289" i="1"/>
  <c r="B288" i="1"/>
  <c r="A288" i="1"/>
  <c r="B287" i="1"/>
  <c r="A287" i="1"/>
  <c r="B286" i="1"/>
  <c r="A286" i="1"/>
  <c r="B285" i="1"/>
  <c r="A285" i="1"/>
  <c r="B284" i="1"/>
  <c r="A284" i="1"/>
  <c r="B283" i="1"/>
  <c r="A283" i="1"/>
  <c r="B282" i="1"/>
  <c r="A282" i="1"/>
  <c r="B281" i="1"/>
  <c r="A281" i="1"/>
  <c r="B280" i="1"/>
  <c r="A280" i="1"/>
  <c r="B279" i="1"/>
  <c r="A279" i="1"/>
  <c r="B278" i="1"/>
  <c r="A278" i="1"/>
  <c r="B277" i="1"/>
  <c r="A277" i="1"/>
  <c r="B276" i="1"/>
  <c r="A276" i="1"/>
  <c r="B275" i="1"/>
  <c r="A275" i="1"/>
  <c r="B274" i="1"/>
  <c r="A274" i="1"/>
  <c r="B273" i="1"/>
  <c r="A273" i="1"/>
  <c r="B272" i="1"/>
  <c r="A272" i="1"/>
  <c r="B271" i="1"/>
  <c r="A271" i="1"/>
  <c r="B270" i="1"/>
  <c r="A270" i="1"/>
  <c r="B269" i="1"/>
  <c r="A269" i="1"/>
  <c r="B268" i="1"/>
  <c r="A268" i="1"/>
  <c r="B267" i="1"/>
  <c r="A267" i="1"/>
  <c r="B266" i="1"/>
  <c r="A266" i="1"/>
  <c r="B265" i="1"/>
  <c r="A265" i="1"/>
  <c r="B264" i="1"/>
  <c r="A264" i="1"/>
  <c r="B263" i="1"/>
  <c r="A263" i="1"/>
  <c r="B262" i="1"/>
  <c r="A262" i="1"/>
  <c r="B261" i="1"/>
  <c r="A261" i="1"/>
  <c r="B260" i="1"/>
  <c r="A260" i="1"/>
  <c r="B259" i="1"/>
  <c r="A259" i="1"/>
  <c r="B258" i="1"/>
  <c r="A258" i="1"/>
  <c r="B257" i="1"/>
  <c r="A257" i="1"/>
  <c r="B256" i="1"/>
  <c r="A256" i="1"/>
  <c r="B255" i="1"/>
  <c r="A255" i="1"/>
  <c r="B254" i="1"/>
  <c r="A254" i="1"/>
  <c r="B253" i="1"/>
  <c r="A253" i="1"/>
  <c r="B252" i="1"/>
  <c r="A252" i="1"/>
  <c r="B251" i="1"/>
  <c r="A251" i="1"/>
  <c r="B250" i="1"/>
  <c r="A250" i="1"/>
  <c r="B249" i="1"/>
  <c r="A249" i="1"/>
  <c r="B248" i="1"/>
  <c r="A248" i="1"/>
  <c r="B247" i="1"/>
  <c r="A247" i="1"/>
  <c r="B246" i="1"/>
  <c r="A246" i="1"/>
  <c r="B245" i="1"/>
  <c r="A245" i="1"/>
  <c r="B244" i="1"/>
  <c r="A244" i="1"/>
  <c r="B243" i="1"/>
  <c r="A243" i="1"/>
  <c r="B242" i="1"/>
  <c r="A242" i="1"/>
  <c r="B241" i="1"/>
  <c r="A241" i="1"/>
  <c r="B240" i="1"/>
  <c r="A240" i="1"/>
  <c r="B239" i="1"/>
  <c r="A239" i="1"/>
  <c r="B238" i="1"/>
  <c r="A238" i="1"/>
  <c r="B237" i="1"/>
  <c r="A237" i="1"/>
  <c r="B236" i="1"/>
  <c r="A236" i="1"/>
  <c r="B235" i="1"/>
  <c r="A235" i="1"/>
  <c r="B234" i="1"/>
  <c r="A234" i="1"/>
  <c r="B233" i="1"/>
  <c r="A233" i="1"/>
  <c r="B232" i="1"/>
  <c r="A232" i="1"/>
  <c r="B231" i="1"/>
  <c r="A231" i="1"/>
  <c r="B230" i="1"/>
  <c r="A230" i="1"/>
  <c r="B229" i="1"/>
  <c r="A229" i="1"/>
  <c r="B228" i="1"/>
  <c r="A228" i="1"/>
  <c r="B227" i="1"/>
  <c r="A227" i="1"/>
  <c r="B226" i="1"/>
  <c r="A226" i="1"/>
  <c r="B225" i="1"/>
  <c r="A225" i="1"/>
  <c r="B224" i="1"/>
  <c r="A224" i="1"/>
  <c r="B223" i="1"/>
  <c r="A223" i="1"/>
  <c r="B222" i="1"/>
  <c r="A222" i="1"/>
  <c r="B221" i="1"/>
  <c r="A221" i="1"/>
  <c r="B220" i="1"/>
  <c r="A220" i="1"/>
  <c r="B219" i="1"/>
  <c r="A219" i="1"/>
  <c r="B218" i="1"/>
  <c r="A218" i="1"/>
  <c r="B217" i="1"/>
  <c r="A217" i="1"/>
  <c r="B216" i="1"/>
  <c r="A216" i="1"/>
  <c r="B215" i="1"/>
  <c r="A215" i="1"/>
  <c r="B214" i="1"/>
  <c r="A214" i="1"/>
  <c r="B213" i="1"/>
  <c r="A213" i="1"/>
  <c r="B212" i="1"/>
  <c r="A212" i="1"/>
  <c r="B211" i="1"/>
  <c r="A211" i="1"/>
  <c r="B210" i="1"/>
  <c r="A210" i="1"/>
  <c r="B209" i="1"/>
  <c r="A209" i="1"/>
  <c r="B208" i="1"/>
  <c r="A208" i="1"/>
  <c r="B207" i="1"/>
  <c r="A207" i="1"/>
  <c r="B206" i="1"/>
  <c r="A206" i="1"/>
  <c r="B205" i="1"/>
  <c r="A205" i="1"/>
  <c r="B204" i="1"/>
  <c r="A204" i="1"/>
  <c r="B203" i="1"/>
  <c r="A203" i="1"/>
  <c r="B202" i="1"/>
  <c r="A202" i="1"/>
  <c r="B201" i="1"/>
  <c r="A201" i="1"/>
  <c r="B200" i="1"/>
  <c r="A200" i="1"/>
  <c r="B199" i="1"/>
  <c r="A199" i="1"/>
  <c r="B198" i="1"/>
  <c r="A198" i="1"/>
  <c r="B197" i="1"/>
  <c r="A197" i="1"/>
  <c r="B196" i="1"/>
  <c r="A196" i="1"/>
  <c r="B195" i="1"/>
  <c r="A195" i="1"/>
  <c r="B194" i="1"/>
  <c r="A194" i="1"/>
  <c r="B193" i="1"/>
  <c r="A193" i="1"/>
  <c r="B192" i="1"/>
  <c r="A192" i="1"/>
  <c r="B191" i="1"/>
  <c r="A191" i="1"/>
  <c r="B190" i="1"/>
  <c r="A190" i="1"/>
  <c r="B189" i="1"/>
  <c r="A189" i="1"/>
  <c r="B188" i="1"/>
  <c r="A188" i="1"/>
  <c r="B187" i="1"/>
  <c r="A187" i="1"/>
  <c r="B186" i="1"/>
  <c r="A186" i="1"/>
  <c r="B185" i="1"/>
  <c r="A185" i="1"/>
  <c r="B184" i="1"/>
  <c r="A184" i="1"/>
  <c r="B183" i="1"/>
  <c r="A183" i="1"/>
  <c r="B182" i="1"/>
  <c r="A182" i="1"/>
  <c r="B181" i="1"/>
  <c r="A181" i="1"/>
  <c r="B180" i="1"/>
  <c r="A180" i="1"/>
  <c r="B179" i="1"/>
  <c r="A179" i="1"/>
  <c r="B178" i="1"/>
  <c r="A178" i="1"/>
  <c r="B177" i="1"/>
  <c r="A177" i="1"/>
  <c r="B176" i="1"/>
  <c r="A176" i="1"/>
  <c r="B175" i="1"/>
  <c r="A175" i="1"/>
  <c r="B174" i="1"/>
  <c r="A174" i="1"/>
  <c r="B173" i="1"/>
  <c r="A173" i="1"/>
  <c r="B172" i="1"/>
  <c r="A172" i="1"/>
  <c r="B171" i="1"/>
  <c r="A171" i="1"/>
  <c r="B170" i="1"/>
  <c r="A170" i="1"/>
  <c r="B169" i="1"/>
  <c r="A169" i="1"/>
  <c r="B168" i="1"/>
  <c r="A168" i="1"/>
  <c r="B167" i="1"/>
  <c r="A167" i="1"/>
  <c r="B166" i="1"/>
  <c r="A166" i="1"/>
  <c r="B165" i="1"/>
  <c r="A165" i="1"/>
  <c r="B164" i="1"/>
  <c r="A164" i="1"/>
  <c r="B163" i="1"/>
  <c r="A163" i="1"/>
  <c r="B162" i="1"/>
  <c r="A162" i="1"/>
  <c r="B161" i="1"/>
  <c r="A161" i="1"/>
  <c r="B160" i="1"/>
  <c r="A160" i="1"/>
  <c r="B159" i="1"/>
  <c r="A159" i="1"/>
  <c r="B158" i="1"/>
  <c r="A158" i="1"/>
  <c r="B157" i="1"/>
  <c r="A157" i="1"/>
  <c r="B156" i="1"/>
  <c r="A156" i="1"/>
  <c r="B155" i="1"/>
  <c r="A155" i="1"/>
  <c r="B154" i="1"/>
  <c r="A154" i="1"/>
  <c r="B153" i="1"/>
  <c r="A153" i="1"/>
  <c r="B152" i="1"/>
  <c r="A152" i="1"/>
  <c r="B151" i="1"/>
  <c r="A151" i="1"/>
  <c r="B150" i="1"/>
  <c r="A150" i="1"/>
  <c r="B149" i="1"/>
  <c r="A149" i="1"/>
  <c r="B148" i="1"/>
  <c r="A148" i="1"/>
  <c r="B147" i="1"/>
  <c r="A147" i="1"/>
  <c r="B146" i="1"/>
  <c r="A146" i="1"/>
  <c r="B145" i="1"/>
  <c r="A145" i="1"/>
  <c r="B144" i="1"/>
  <c r="A144" i="1"/>
  <c r="B143" i="1"/>
  <c r="A143" i="1"/>
  <c r="B142" i="1"/>
  <c r="A142" i="1"/>
  <c r="B141" i="1"/>
  <c r="A141" i="1"/>
  <c r="B140" i="1"/>
  <c r="A140" i="1"/>
  <c r="B139" i="1"/>
  <c r="A139" i="1"/>
  <c r="B138" i="1"/>
  <c r="A138" i="1"/>
  <c r="B137" i="1"/>
  <c r="A137" i="1"/>
  <c r="B136" i="1"/>
  <c r="A136" i="1"/>
  <c r="B135" i="1"/>
  <c r="A135" i="1"/>
  <c r="B134" i="1"/>
  <c r="A134" i="1"/>
  <c r="B133" i="1"/>
  <c r="A133" i="1"/>
  <c r="B132" i="1"/>
  <c r="A132" i="1"/>
  <c r="B131" i="1"/>
  <c r="A131" i="1"/>
  <c r="B130" i="1"/>
  <c r="A130" i="1"/>
  <c r="B129" i="1"/>
  <c r="A129" i="1"/>
  <c r="B128" i="1"/>
  <c r="A128" i="1"/>
  <c r="B127" i="1"/>
  <c r="A127" i="1"/>
  <c r="B126" i="1"/>
  <c r="A126" i="1"/>
  <c r="B125" i="1"/>
  <c r="A125" i="1"/>
  <c r="B124" i="1"/>
  <c r="A124" i="1"/>
  <c r="B123" i="1"/>
  <c r="A123" i="1"/>
  <c r="B122" i="1"/>
  <c r="A122" i="1"/>
  <c r="B121" i="1"/>
  <c r="A121" i="1"/>
  <c r="B120" i="1"/>
  <c r="A120" i="1"/>
  <c r="B119" i="1"/>
  <c r="A119" i="1"/>
  <c r="B118" i="1"/>
  <c r="A118" i="1"/>
  <c r="B117" i="1"/>
  <c r="A117" i="1"/>
  <c r="B116" i="1"/>
  <c r="A116" i="1"/>
  <c r="B115" i="1"/>
  <c r="A115" i="1"/>
  <c r="B114" i="1"/>
  <c r="A114" i="1"/>
  <c r="B113" i="1"/>
  <c r="A113" i="1"/>
  <c r="B112" i="1"/>
  <c r="A112" i="1"/>
  <c r="B111" i="1"/>
  <c r="A111" i="1"/>
  <c r="B110" i="1"/>
  <c r="A110" i="1"/>
  <c r="B109" i="1"/>
  <c r="A109" i="1"/>
  <c r="B108" i="1"/>
  <c r="A108" i="1"/>
  <c r="B107" i="1"/>
  <c r="A107" i="1"/>
  <c r="B106" i="1"/>
  <c r="A106" i="1"/>
  <c r="B105" i="1"/>
  <c r="A105" i="1"/>
  <c r="B104" i="1"/>
  <c r="A104" i="1"/>
  <c r="B103" i="1"/>
  <c r="A103" i="1"/>
  <c r="B102" i="1"/>
  <c r="A102" i="1"/>
  <c r="B101" i="1"/>
  <c r="A101" i="1"/>
  <c r="B100" i="1"/>
  <c r="A100" i="1"/>
  <c r="B99" i="1"/>
  <c r="A99" i="1"/>
  <c r="B98" i="1"/>
  <c r="A98" i="1"/>
  <c r="B97" i="1"/>
  <c r="A97" i="1"/>
  <c r="B96" i="1"/>
  <c r="A96" i="1"/>
  <c r="B95" i="1"/>
  <c r="A95" i="1"/>
  <c r="B94" i="1"/>
  <c r="A94" i="1"/>
  <c r="B93" i="1"/>
  <c r="A93" i="1"/>
  <c r="B92" i="1"/>
  <c r="A92" i="1"/>
  <c r="B91" i="1"/>
  <c r="A91" i="1"/>
  <c r="B90" i="1"/>
  <c r="A90" i="1"/>
  <c r="B89" i="1"/>
  <c r="A89" i="1"/>
  <c r="B88" i="1"/>
  <c r="A88" i="1"/>
  <c r="B87" i="1"/>
  <c r="A87" i="1"/>
  <c r="B86" i="1"/>
  <c r="A86" i="1"/>
  <c r="B85" i="1"/>
  <c r="A85" i="1"/>
  <c r="B84" i="1"/>
  <c r="A84" i="1"/>
  <c r="B83" i="1"/>
  <c r="A83" i="1"/>
  <c r="B82" i="1"/>
  <c r="A82" i="1"/>
  <c r="B81" i="1"/>
  <c r="A81" i="1"/>
  <c r="B80" i="1"/>
  <c r="A80" i="1"/>
  <c r="B79" i="1"/>
  <c r="A79" i="1"/>
  <c r="B78" i="1"/>
  <c r="A78" i="1"/>
  <c r="B77" i="1"/>
  <c r="A77" i="1"/>
  <c r="B76" i="1"/>
  <c r="A76" i="1"/>
  <c r="B75" i="1"/>
  <c r="A75" i="1"/>
  <c r="B74" i="1"/>
  <c r="A74" i="1"/>
  <c r="B73" i="1"/>
  <c r="A73" i="1"/>
  <c r="B72" i="1"/>
  <c r="A72" i="1"/>
  <c r="B71" i="1"/>
  <c r="A71" i="1"/>
  <c r="B70" i="1"/>
  <c r="A70" i="1"/>
  <c r="B69" i="1"/>
  <c r="A69" i="1"/>
  <c r="B68" i="1"/>
  <c r="A68" i="1"/>
  <c r="B67" i="1"/>
  <c r="A67" i="1"/>
  <c r="B66" i="1"/>
  <c r="A66" i="1"/>
  <c r="B65" i="1"/>
  <c r="A65" i="1"/>
  <c r="B64" i="1"/>
  <c r="A64" i="1"/>
  <c r="B63" i="1"/>
  <c r="A63" i="1"/>
  <c r="B62" i="1"/>
  <c r="A62" i="1"/>
  <c r="B61" i="1"/>
  <c r="A61" i="1"/>
  <c r="B60" i="1"/>
  <c r="A60" i="1"/>
  <c r="B59" i="1"/>
  <c r="A59" i="1"/>
  <c r="B58" i="1"/>
  <c r="A58" i="1"/>
  <c r="B57" i="1"/>
  <c r="A57" i="1"/>
  <c r="B56" i="1"/>
  <c r="A56" i="1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3" i="1"/>
  <c r="A3" i="1"/>
  <c r="C2" i="1"/>
  <c r="B2" i="1"/>
  <c r="A2" i="1"/>
  <c r="C1" i="1"/>
  <c r="B1" i="1"/>
  <c r="A1" i="1"/>
</calcChain>
</file>

<file path=xl/sharedStrings.xml><?xml version="1.0" encoding="utf-8"?>
<sst xmlns="http://schemas.openxmlformats.org/spreadsheetml/2006/main" count="27" uniqueCount="27">
  <si>
    <t>列標籤</t>
  </si>
  <si>
    <t>Garage+</t>
  </si>
  <si>
    <t>Mighty Net(邁特創新基地)</t>
  </si>
  <si>
    <t>Mosaic Venture Lab 宇斻管理顧問股份有限公司</t>
  </si>
  <si>
    <t>Muse Builder</t>
  </si>
  <si>
    <t>SparkLabs Taiwan 斯伯克國際創業投資有限公司</t>
  </si>
  <si>
    <t>StarFab (豪覓管理顧問股份有限公司)</t>
  </si>
  <si>
    <t>比翼生醫</t>
  </si>
  <si>
    <t>台灣智慧雲端服務股份有限公司（台智雲）</t>
  </si>
  <si>
    <t>生物技術開發中心(南港生技育成中心)</t>
  </si>
  <si>
    <t>好食好事加速器</t>
  </si>
  <si>
    <t>安永聯合會計師事務所</t>
  </si>
  <si>
    <t>扶田資本股份有限公司</t>
  </si>
  <si>
    <t>尚未報名/媒合中</t>
  </si>
  <si>
    <t>活水影響力投資</t>
  </si>
  <si>
    <t>國立陽明交通大學產業加速器暨專利開發策略中心</t>
  </si>
  <si>
    <t>國家衛生研究院/ 創新育成中心</t>
  </si>
  <si>
    <t>博大國際智權股份有限公司</t>
  </si>
  <si>
    <t>資育股份有限公司</t>
  </si>
  <si>
    <t>資誠聯合會計師事務所</t>
  </si>
  <si>
    <t>遠邦國際品牌CrossBond</t>
  </si>
  <si>
    <t>酷日國際有限公司</t>
  </si>
  <si>
    <t>聯合創新加速器</t>
  </si>
  <si>
    <t>購威經濟股份有限公司(智慧高軟)</t>
  </si>
  <si>
    <t>(空白)</t>
  </si>
  <si>
    <t>總計</t>
  </si>
  <si>
    <t>計數 - 加速器媒合結果2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</si>
</sst>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/d/yyyy\ h:mm:ss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9"/>
      <name val="Arial"/>
      <family val="3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176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pivotButton="1" applyFont="1" applyAlignment="1"/>
    <xf numFmtId="0" fontId="0" fillId="0" borderId="0" xfId="0" applyFont="1" applyAlignment="1">
      <alignment horizontal="left"/>
    </xf>
    <xf numFmtId="0" fontId="0" fillId="0" borderId="0" xfId="0" applyNumberFormat="1" applyFont="1" applyAlignment="1"/>
    <xf numFmtId="176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一般" xfId="0" builtinId="0"/>
  </cellStyles>
  <dxfs count="8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[創業綻放計畫  一對一業師輔導媒合結果公告(即時更新).xlsx]工作表2!樞紐分析表1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工作表2!$B$1</c:f>
              <c:strCache>
                <c:ptCount val="1"/>
                <c:pt idx="0">
                  <c:v>合計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工作表2!$A$2:$A$26</c:f>
              <c:strCache>
                <c:ptCount val="24"/>
                <c:pt idx="0">
                  <c:v>Garage+</c:v>
                </c:pt>
                <c:pt idx="1">
                  <c:v>Mighty Net(邁特創新基地)</c:v>
                </c:pt>
                <c:pt idx="2">
                  <c:v>Mosaic Venture Lab 宇斻管理顧問股份有限公司</c:v>
                </c:pt>
                <c:pt idx="3">
                  <c:v>Muse Builder</c:v>
                </c:pt>
                <c:pt idx="4">
                  <c:v>SparkLabs Taiwan 斯伯克國際創業投資有限公司</c:v>
                </c:pt>
                <c:pt idx="5">
                  <c:v>StarFab (豪覓管理顧問股份有限公司)</c:v>
                </c:pt>
                <c:pt idx="6">
                  <c:v>比翼生醫</c:v>
                </c:pt>
                <c:pt idx="7">
                  <c:v>台灣智慧雲端服務股份有限公司（台智雲）</c:v>
                </c:pt>
                <c:pt idx="8">
                  <c:v>生物技術開發中心(南港生技育成中心)</c:v>
                </c:pt>
                <c:pt idx="9">
                  <c:v>好食好事加速器</c:v>
                </c:pt>
                <c:pt idx="10">
                  <c:v>安永聯合會計師事務所</c:v>
                </c:pt>
                <c:pt idx="11">
                  <c:v>扶田資本股份有限公司</c:v>
                </c:pt>
                <c:pt idx="12">
                  <c:v>尚未報名/媒合中</c:v>
                </c:pt>
                <c:pt idx="13">
                  <c:v>活水影響力投資</c:v>
                </c:pt>
                <c:pt idx="14">
                  <c:v>國立陽明交通大學產業加速器暨專利開發策略中心</c:v>
                </c:pt>
                <c:pt idx="15">
                  <c:v>國家衛生研究院/ 創新育成中心</c:v>
                </c:pt>
                <c:pt idx="16">
                  <c:v>博大國際智權股份有限公司</c:v>
                </c:pt>
                <c:pt idx="17">
                  <c:v>資育股份有限公司</c:v>
                </c:pt>
                <c:pt idx="18">
                  <c:v>資誠聯合會計師事務所</c:v>
                </c:pt>
                <c:pt idx="19">
                  <c:v>遠邦國際品牌CrossBond</c:v>
                </c:pt>
                <c:pt idx="20">
                  <c:v>酷日國際有限公司</c:v>
                </c:pt>
                <c:pt idx="21">
                  <c:v>聯合創新加速器</c:v>
                </c:pt>
                <c:pt idx="22">
                  <c:v>購威經濟股份有限公司(智慧高軟)</c:v>
                </c:pt>
                <c:pt idx="23">
                  <c:v>(空白)</c:v>
                </c:pt>
              </c:strCache>
            </c:strRef>
          </c:cat>
          <c:val>
            <c:numRef>
              <c:f>工作表2!$B$2:$B$26</c:f>
              <c:numCache>
                <c:formatCode>General</c:formatCode>
                <c:ptCount val="24"/>
                <c:pt idx="0">
                  <c:v>16</c:v>
                </c:pt>
                <c:pt idx="1">
                  <c:v>7</c:v>
                </c:pt>
                <c:pt idx="2">
                  <c:v>8</c:v>
                </c:pt>
                <c:pt idx="3">
                  <c:v>12</c:v>
                </c:pt>
                <c:pt idx="4">
                  <c:v>50</c:v>
                </c:pt>
                <c:pt idx="5">
                  <c:v>20</c:v>
                </c:pt>
                <c:pt idx="6">
                  <c:v>20</c:v>
                </c:pt>
                <c:pt idx="7">
                  <c:v>6</c:v>
                </c:pt>
                <c:pt idx="8">
                  <c:v>4</c:v>
                </c:pt>
                <c:pt idx="9">
                  <c:v>22</c:v>
                </c:pt>
                <c:pt idx="10">
                  <c:v>11</c:v>
                </c:pt>
                <c:pt idx="11">
                  <c:v>14</c:v>
                </c:pt>
                <c:pt idx="12">
                  <c:v>18</c:v>
                </c:pt>
                <c:pt idx="13">
                  <c:v>3</c:v>
                </c:pt>
                <c:pt idx="14">
                  <c:v>9</c:v>
                </c:pt>
                <c:pt idx="15">
                  <c:v>7</c:v>
                </c:pt>
                <c:pt idx="16">
                  <c:v>2</c:v>
                </c:pt>
                <c:pt idx="17">
                  <c:v>10</c:v>
                </c:pt>
                <c:pt idx="18">
                  <c:v>21</c:v>
                </c:pt>
                <c:pt idx="19">
                  <c:v>6</c:v>
                </c:pt>
                <c:pt idx="20">
                  <c:v>12</c:v>
                </c:pt>
                <c:pt idx="21">
                  <c:v>16</c:v>
                </c:pt>
                <c:pt idx="2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19-4B19-ABB8-B90499E9AF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58483344"/>
        <c:axId val="558480064"/>
      </c:barChart>
      <c:catAx>
        <c:axId val="55848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58480064"/>
        <c:crosses val="autoZero"/>
        <c:auto val="1"/>
        <c:lblAlgn val="ctr"/>
        <c:lblOffset val="100"/>
        <c:noMultiLvlLbl val="0"/>
      </c:catAx>
      <c:valAx>
        <c:axId val="55848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5848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449580</xdr:colOff>
      <xdr:row>1</xdr:row>
      <xdr:rowOff>53340</xdr:rowOff>
    </xdr:from>
    <xdr:to>
      <xdr:col>5</xdr:col>
      <xdr:colOff>83820</xdr:colOff>
      <xdr:row>17</xdr:row>
      <xdr:rowOff>144780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40975AC-5E50-4038-B483-0DBA84F775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劉明燁" refreshedDate="46100.708835185185" createdVersion="6" refreshedVersion="6" minRefreshableVersion="3" recordCount="301" xr:uid="{D8735296-A2B7-4339-9805-F9E869CCA3B0}">
  <cacheSource type="worksheet">
    <worksheetSource ref="B1:B1048576" sheet="一對一業師輔導媒合結果"/>
  </cacheSource>
  <cacheFields count="1">
    <cacheField name="加速器媒合結果" numFmtId="0">
      <sharedItems containsBlank="1" count="24">
        <s v="購威經濟股份有限公司(智慧高軟)"/>
        <s v="Garage+"/>
        <s v="比翼生醫"/>
        <s v="聯合創新加速器"/>
        <s v="好食好事加速器"/>
        <s v="酷日國際有限公司"/>
        <s v="資誠聯合會計師事務所"/>
        <s v="StarFab (豪覓管理顧問股份有限公司)"/>
        <s v="SparkLabs Taiwan 斯伯克國際創業投資有限公司"/>
        <s v="尚未報名/媒合中"/>
        <s v="Mighty Net(邁特創新基地)"/>
        <s v="Mosaic Venture Lab 宇斻管理顧問股份有限公司"/>
        <s v="國立陽明交通大學產業加速器暨專利開發策略中心"/>
        <s v="扶田資本股份有限公司"/>
        <s v="資育股份有限公司"/>
        <s v="遠邦國際品牌CrossBond"/>
        <s v="Muse Builder"/>
        <s v="安永聯合會計師事務所"/>
        <s v="生物技術開發中心(南港生技育成中心)"/>
        <s v="國家衛生研究院/ 創新育成中心"/>
        <s v="活水影響力投資"/>
        <s v="台灣智慧雲端服務股份有限公司（台智雲）"/>
        <s v="博大國際智權股份有限公司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1">
  <r>
    <x v="0"/>
  </r>
  <r>
    <x v="1"/>
  </r>
  <r>
    <x v="2"/>
  </r>
  <r>
    <x v="3"/>
  </r>
  <r>
    <x v="4"/>
  </r>
  <r>
    <x v="5"/>
  </r>
  <r>
    <x v="6"/>
  </r>
  <r>
    <x v="7"/>
  </r>
  <r>
    <x v="6"/>
  </r>
  <r>
    <x v="8"/>
  </r>
  <r>
    <x v="9"/>
  </r>
  <r>
    <x v="10"/>
  </r>
  <r>
    <x v="7"/>
  </r>
  <r>
    <x v="5"/>
  </r>
  <r>
    <x v="11"/>
  </r>
  <r>
    <x v="4"/>
  </r>
  <r>
    <x v="7"/>
  </r>
  <r>
    <x v="12"/>
  </r>
  <r>
    <x v="7"/>
  </r>
  <r>
    <x v="7"/>
  </r>
  <r>
    <x v="8"/>
  </r>
  <r>
    <x v="11"/>
  </r>
  <r>
    <x v="8"/>
  </r>
  <r>
    <x v="12"/>
  </r>
  <r>
    <x v="7"/>
  </r>
  <r>
    <x v="13"/>
  </r>
  <r>
    <x v="14"/>
  </r>
  <r>
    <x v="8"/>
  </r>
  <r>
    <x v="14"/>
  </r>
  <r>
    <x v="8"/>
  </r>
  <r>
    <x v="8"/>
  </r>
  <r>
    <x v="15"/>
  </r>
  <r>
    <x v="12"/>
  </r>
  <r>
    <x v="12"/>
  </r>
  <r>
    <x v="11"/>
  </r>
  <r>
    <x v="14"/>
  </r>
  <r>
    <x v="1"/>
  </r>
  <r>
    <x v="16"/>
  </r>
  <r>
    <x v="0"/>
  </r>
  <r>
    <x v="9"/>
  </r>
  <r>
    <x v="14"/>
  </r>
  <r>
    <x v="8"/>
  </r>
  <r>
    <x v="7"/>
  </r>
  <r>
    <x v="2"/>
  </r>
  <r>
    <x v="2"/>
  </r>
  <r>
    <x v="6"/>
  </r>
  <r>
    <x v="2"/>
  </r>
  <r>
    <x v="17"/>
  </r>
  <r>
    <x v="3"/>
  </r>
  <r>
    <x v="6"/>
  </r>
  <r>
    <x v="17"/>
  </r>
  <r>
    <x v="4"/>
  </r>
  <r>
    <x v="2"/>
  </r>
  <r>
    <x v="3"/>
  </r>
  <r>
    <x v="8"/>
  </r>
  <r>
    <x v="16"/>
  </r>
  <r>
    <x v="7"/>
  </r>
  <r>
    <x v="7"/>
  </r>
  <r>
    <x v="3"/>
  </r>
  <r>
    <x v="10"/>
  </r>
  <r>
    <x v="8"/>
  </r>
  <r>
    <x v="6"/>
  </r>
  <r>
    <x v="1"/>
  </r>
  <r>
    <x v="13"/>
  </r>
  <r>
    <x v="9"/>
  </r>
  <r>
    <x v="3"/>
  </r>
  <r>
    <x v="10"/>
  </r>
  <r>
    <x v="1"/>
  </r>
  <r>
    <x v="8"/>
  </r>
  <r>
    <x v="7"/>
  </r>
  <r>
    <x v="6"/>
  </r>
  <r>
    <x v="5"/>
  </r>
  <r>
    <x v="7"/>
  </r>
  <r>
    <x v="4"/>
  </r>
  <r>
    <x v="13"/>
  </r>
  <r>
    <x v="2"/>
  </r>
  <r>
    <x v="18"/>
  </r>
  <r>
    <x v="11"/>
  </r>
  <r>
    <x v="19"/>
  </r>
  <r>
    <x v="8"/>
  </r>
  <r>
    <x v="7"/>
  </r>
  <r>
    <x v="1"/>
  </r>
  <r>
    <x v="7"/>
  </r>
  <r>
    <x v="17"/>
  </r>
  <r>
    <x v="9"/>
  </r>
  <r>
    <x v="2"/>
  </r>
  <r>
    <x v="5"/>
  </r>
  <r>
    <x v="4"/>
  </r>
  <r>
    <x v="18"/>
  </r>
  <r>
    <x v="4"/>
  </r>
  <r>
    <x v="19"/>
  </r>
  <r>
    <x v="10"/>
  </r>
  <r>
    <x v="6"/>
  </r>
  <r>
    <x v="3"/>
  </r>
  <r>
    <x v="20"/>
  </r>
  <r>
    <x v="11"/>
  </r>
  <r>
    <x v="4"/>
  </r>
  <r>
    <x v="13"/>
  </r>
  <r>
    <x v="6"/>
  </r>
  <r>
    <x v="0"/>
  </r>
  <r>
    <x v="4"/>
  </r>
  <r>
    <x v="2"/>
  </r>
  <r>
    <x v="14"/>
  </r>
  <r>
    <x v="8"/>
  </r>
  <r>
    <x v="9"/>
  </r>
  <r>
    <x v="15"/>
  </r>
  <r>
    <x v="9"/>
  </r>
  <r>
    <x v="6"/>
  </r>
  <r>
    <x v="1"/>
  </r>
  <r>
    <x v="8"/>
  </r>
  <r>
    <x v="8"/>
  </r>
  <r>
    <x v="8"/>
  </r>
  <r>
    <x v="6"/>
  </r>
  <r>
    <x v="2"/>
  </r>
  <r>
    <x v="20"/>
  </r>
  <r>
    <x v="8"/>
  </r>
  <r>
    <x v="13"/>
  </r>
  <r>
    <x v="14"/>
  </r>
  <r>
    <x v="13"/>
  </r>
  <r>
    <x v="13"/>
  </r>
  <r>
    <x v="3"/>
  </r>
  <r>
    <x v="0"/>
  </r>
  <r>
    <x v="2"/>
  </r>
  <r>
    <x v="14"/>
  </r>
  <r>
    <x v="16"/>
  </r>
  <r>
    <x v="8"/>
  </r>
  <r>
    <x v="8"/>
  </r>
  <r>
    <x v="4"/>
  </r>
  <r>
    <x v="8"/>
  </r>
  <r>
    <x v="6"/>
  </r>
  <r>
    <x v="15"/>
  </r>
  <r>
    <x v="7"/>
  </r>
  <r>
    <x v="4"/>
  </r>
  <r>
    <x v="1"/>
  </r>
  <r>
    <x v="14"/>
  </r>
  <r>
    <x v="8"/>
  </r>
  <r>
    <x v="13"/>
  </r>
  <r>
    <x v="3"/>
  </r>
  <r>
    <x v="17"/>
  </r>
  <r>
    <x v="21"/>
  </r>
  <r>
    <x v="16"/>
  </r>
  <r>
    <x v="6"/>
  </r>
  <r>
    <x v="8"/>
  </r>
  <r>
    <x v="4"/>
  </r>
  <r>
    <x v="9"/>
  </r>
  <r>
    <x v="4"/>
  </r>
  <r>
    <x v="8"/>
  </r>
  <r>
    <x v="18"/>
  </r>
  <r>
    <x v="9"/>
  </r>
  <r>
    <x v="7"/>
  </r>
  <r>
    <x v="9"/>
  </r>
  <r>
    <x v="10"/>
  </r>
  <r>
    <x v="8"/>
  </r>
  <r>
    <x v="16"/>
  </r>
  <r>
    <x v="7"/>
  </r>
  <r>
    <x v="9"/>
  </r>
  <r>
    <x v="4"/>
  </r>
  <r>
    <x v="13"/>
  </r>
  <r>
    <x v="12"/>
  </r>
  <r>
    <x v="12"/>
  </r>
  <r>
    <x v="4"/>
  </r>
  <r>
    <x v="8"/>
  </r>
  <r>
    <x v="6"/>
  </r>
  <r>
    <x v="7"/>
  </r>
  <r>
    <x v="20"/>
  </r>
  <r>
    <x v="3"/>
  </r>
  <r>
    <x v="7"/>
  </r>
  <r>
    <x v="16"/>
  </r>
  <r>
    <x v="3"/>
  </r>
  <r>
    <x v="4"/>
  </r>
  <r>
    <x v="17"/>
  </r>
  <r>
    <x v="2"/>
  </r>
  <r>
    <x v="5"/>
  </r>
  <r>
    <x v="6"/>
  </r>
  <r>
    <x v="9"/>
  </r>
  <r>
    <x v="3"/>
  </r>
  <r>
    <x v="9"/>
  </r>
  <r>
    <x v="5"/>
  </r>
  <r>
    <x v="2"/>
  </r>
  <r>
    <x v="12"/>
  </r>
  <r>
    <x v="4"/>
  </r>
  <r>
    <x v="12"/>
  </r>
  <r>
    <x v="8"/>
  </r>
  <r>
    <x v="5"/>
  </r>
  <r>
    <x v="4"/>
  </r>
  <r>
    <x v="22"/>
  </r>
  <r>
    <x v="9"/>
  </r>
  <r>
    <x v="8"/>
  </r>
  <r>
    <x v="16"/>
  </r>
  <r>
    <x v="1"/>
  </r>
  <r>
    <x v="11"/>
  </r>
  <r>
    <x v="8"/>
  </r>
  <r>
    <x v="6"/>
  </r>
  <r>
    <x v="6"/>
  </r>
  <r>
    <x v="3"/>
  </r>
  <r>
    <x v="16"/>
  </r>
  <r>
    <x v="9"/>
  </r>
  <r>
    <x v="8"/>
  </r>
  <r>
    <x v="9"/>
  </r>
  <r>
    <x v="6"/>
  </r>
  <r>
    <x v="13"/>
  </r>
  <r>
    <x v="8"/>
  </r>
  <r>
    <x v="5"/>
  </r>
  <r>
    <x v="8"/>
  </r>
  <r>
    <x v="0"/>
  </r>
  <r>
    <x v="11"/>
  </r>
  <r>
    <x v="21"/>
  </r>
  <r>
    <x v="7"/>
  </r>
  <r>
    <x v="9"/>
  </r>
  <r>
    <x v="13"/>
  </r>
  <r>
    <x v="8"/>
  </r>
  <r>
    <x v="16"/>
  </r>
  <r>
    <x v="5"/>
  </r>
  <r>
    <x v="1"/>
  </r>
  <r>
    <x v="16"/>
  </r>
  <r>
    <x v="21"/>
  </r>
  <r>
    <x v="8"/>
  </r>
  <r>
    <x v="2"/>
  </r>
  <r>
    <x v="3"/>
  </r>
  <r>
    <x v="6"/>
  </r>
  <r>
    <x v="1"/>
  </r>
  <r>
    <x v="2"/>
  </r>
  <r>
    <x v="12"/>
  </r>
  <r>
    <x v="10"/>
  </r>
  <r>
    <x v="19"/>
  </r>
  <r>
    <x v="14"/>
  </r>
  <r>
    <x v="19"/>
  </r>
  <r>
    <x v="2"/>
  </r>
  <r>
    <x v="19"/>
  </r>
  <r>
    <x v="8"/>
  </r>
  <r>
    <x v="4"/>
  </r>
  <r>
    <x v="17"/>
  </r>
  <r>
    <x v="0"/>
  </r>
  <r>
    <x v="2"/>
  </r>
  <r>
    <x v="17"/>
  </r>
  <r>
    <x v="22"/>
  </r>
  <r>
    <x v="19"/>
  </r>
  <r>
    <x v="8"/>
  </r>
  <r>
    <x v="16"/>
  </r>
  <r>
    <x v="3"/>
  </r>
  <r>
    <x v="8"/>
  </r>
  <r>
    <x v="2"/>
  </r>
  <r>
    <x v="11"/>
  </r>
  <r>
    <x v="8"/>
  </r>
  <r>
    <x v="8"/>
  </r>
  <r>
    <x v="8"/>
  </r>
  <r>
    <x v="8"/>
  </r>
  <r>
    <x v="1"/>
  </r>
  <r>
    <x v="15"/>
  </r>
  <r>
    <x v="1"/>
  </r>
  <r>
    <x v="14"/>
  </r>
  <r>
    <x v="8"/>
  </r>
  <r>
    <x v="13"/>
  </r>
  <r>
    <x v="3"/>
  </r>
  <r>
    <x v="2"/>
  </r>
  <r>
    <x v="6"/>
  </r>
  <r>
    <x v="17"/>
  </r>
  <r>
    <x v="8"/>
  </r>
  <r>
    <x v="17"/>
  </r>
  <r>
    <x v="6"/>
  </r>
  <r>
    <x v="8"/>
  </r>
  <r>
    <x v="13"/>
  </r>
  <r>
    <x v="4"/>
  </r>
  <r>
    <x v="5"/>
  </r>
  <r>
    <x v="21"/>
  </r>
  <r>
    <x v="9"/>
  </r>
  <r>
    <x v="8"/>
  </r>
  <r>
    <x v="21"/>
  </r>
  <r>
    <x v="1"/>
  </r>
  <r>
    <x v="8"/>
  </r>
  <r>
    <x v="17"/>
  </r>
  <r>
    <x v="15"/>
  </r>
  <r>
    <x v="10"/>
  </r>
  <r>
    <x v="16"/>
  </r>
  <r>
    <x v="3"/>
  </r>
  <r>
    <x v="4"/>
  </r>
  <r>
    <x v="4"/>
  </r>
  <r>
    <x v="21"/>
  </r>
  <r>
    <x v="17"/>
  </r>
  <r>
    <x v="2"/>
  </r>
  <r>
    <x v="18"/>
  </r>
  <r>
    <x v="8"/>
  </r>
  <r>
    <x v="2"/>
  </r>
  <r>
    <x v="5"/>
  </r>
  <r>
    <x v="6"/>
  </r>
  <r>
    <x v="8"/>
  </r>
  <r>
    <x v="1"/>
  </r>
  <r>
    <x v="1"/>
  </r>
  <r>
    <x v="4"/>
  </r>
  <r>
    <x v="19"/>
  </r>
  <r>
    <x v="8"/>
  </r>
  <r>
    <x v="8"/>
  </r>
  <r>
    <x v="8"/>
  </r>
  <r>
    <x v="1"/>
  </r>
  <r>
    <x v="7"/>
  </r>
  <r>
    <x v="8"/>
  </r>
  <r>
    <x v="13"/>
  </r>
  <r>
    <x v="9"/>
  </r>
  <r>
    <x v="15"/>
  </r>
  <r>
    <x v="5"/>
  </r>
  <r>
    <x v="2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D14715-438A-4C54-8C15-547BD8F6F061}" name="樞紐分析表1" cacheId="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 chartFormat="1">
  <location ref="A1:B26" firstHeaderRow="1" firstDataRow="1" firstDataCol="1"/>
  <pivotFields count="1">
    <pivotField axis="axisRow" dataField="1" showAll="0">
      <items count="25">
        <item x="1"/>
        <item x="10"/>
        <item x="11"/>
        <item x="16"/>
        <item x="8"/>
        <item x="7"/>
        <item x="2"/>
        <item x="21"/>
        <item x="18"/>
        <item x="4"/>
        <item x="17"/>
        <item x="13"/>
        <item x="9"/>
        <item x="20"/>
        <item x="12"/>
        <item x="19"/>
        <item x="22"/>
        <item x="14"/>
        <item x="6"/>
        <item x="15"/>
        <item x="5"/>
        <item x="3"/>
        <item x="0"/>
        <item x="23"/>
        <item t="default"/>
      </items>
    </pivotField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計數 - 加速器媒合結果2" fld="0" subtotal="count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301"/>
  <sheetViews>
    <sheetView workbookViewId="0">
      <pane ySplit="1" topLeftCell="A218" activePane="bottomLeft" state="frozen"/>
      <selection pane="bottomLeft" activeCell="C229" sqref="C229"/>
    </sheetView>
  </sheetViews>
  <sheetFormatPr defaultColWidth="12.6640625" defaultRowHeight="15.75" customHeight="1" x14ac:dyDescent="0.25"/>
  <cols>
    <col min="1" max="1" width="7.77734375" customWidth="1"/>
    <col min="2" max="2" width="41.88671875" customWidth="1"/>
    <col min="3" max="5" width="21.44140625" customWidth="1"/>
  </cols>
  <sheetData>
    <row r="1" spans="1:5" x14ac:dyDescent="0.25">
      <c r="A1" s="1" t="str">
        <f ca="1">IFERROR(__xludf.DUMMYFUNCTION("IMPORTRANGE(""https://docs.google.com/spreadsheets/d/1FBBAWrn560jzfU9V46JBe5ienOcijEYKU7hkWfpnKcU/edit?usp=sharing"",""一對一輔導媒合結果(公告版 即時更新)!a:a"")"),"團隊編號")</f>
        <v>團隊編號</v>
      </c>
      <c r="B1" s="1" t="str">
        <f ca="1">IFERROR(__xludf.DUMMYFUNCTION("IMPORTRANGE(""https://docs.google.com/spreadsheets/d/1FBBAWrn560jzfU9V46JBe5ienOcijEYKU7hkWfpnKcU/edit?usp=sharing"",""一對一輔導媒合結果(公告版 即時更新)!b:b"")"),"加速器媒合結果")</f>
        <v>加速器媒合結果</v>
      </c>
      <c r="C1" s="1" t="str">
        <f ca="1">IFERROR(__xludf.DUMMYFUNCTION("IMPORTRANGE(""https://docs.google.com/spreadsheets/d/1FBBAWrn560jzfU9V46JBe5ienOcijEYKU7hkWfpnKcU/edit?usp=sharing"",""一對一輔導媒合結果(公告版 即時更新)!c:c"")"),"更新時間")</f>
        <v>更新時間</v>
      </c>
      <c r="D1" s="1"/>
      <c r="E1" s="1"/>
    </row>
    <row r="2" spans="1:5" x14ac:dyDescent="0.25">
      <c r="A2" s="2" t="str">
        <f ca="1">IFERROR(__xludf.DUMMYFUNCTION("""COMPUTED_VALUE"""),"A0002")</f>
        <v>A0002</v>
      </c>
      <c r="B2" s="3" t="str">
        <f ca="1">IFERROR(__xludf.DUMMYFUNCTION("""COMPUTED_VALUE"""),"購威經濟股份有限公司(智慧高軟)")</f>
        <v>購威經濟股份有限公司(智慧高軟)</v>
      </c>
      <c r="C2" s="4" t="str">
        <f ca="1">IFERROR(__xludf.DUMMYFUNCTION("""COMPUTED_VALUE"""),"115/03/09 14:06")</f>
        <v>115/03/09 14:06</v>
      </c>
      <c r="D2" s="3"/>
      <c r="E2" s="3"/>
    </row>
    <row r="3" spans="1:5" x14ac:dyDescent="0.25">
      <c r="A3" s="2" t="str">
        <f ca="1">IFERROR(__xludf.DUMMYFUNCTION("""COMPUTED_VALUE"""),"A0004")</f>
        <v>A0004</v>
      </c>
      <c r="B3" s="3" t="str">
        <f ca="1">IFERROR(__xludf.DUMMYFUNCTION("""COMPUTED_VALUE"""),"Garage+")</f>
        <v>Garage+</v>
      </c>
      <c r="C3" s="3"/>
      <c r="D3" s="3"/>
      <c r="E3" s="3"/>
    </row>
    <row r="4" spans="1:5" x14ac:dyDescent="0.25">
      <c r="A4" s="2" t="str">
        <f ca="1">IFERROR(__xludf.DUMMYFUNCTION("""COMPUTED_VALUE"""),"A0009")</f>
        <v>A0009</v>
      </c>
      <c r="B4" s="3" t="str">
        <f ca="1">IFERROR(__xludf.DUMMYFUNCTION("""COMPUTED_VALUE"""),"比翼生醫")</f>
        <v>比翼生醫</v>
      </c>
      <c r="C4" s="3"/>
      <c r="D4" s="3"/>
      <c r="E4" s="3"/>
    </row>
    <row r="5" spans="1:5" x14ac:dyDescent="0.25">
      <c r="A5" s="2" t="str">
        <f ca="1">IFERROR(__xludf.DUMMYFUNCTION("""COMPUTED_VALUE"""),"A0011")</f>
        <v>A0011</v>
      </c>
      <c r="B5" s="3" t="str">
        <f ca="1">IFERROR(__xludf.DUMMYFUNCTION("""COMPUTED_VALUE"""),"聯合創新加速器")</f>
        <v>聯合創新加速器</v>
      </c>
      <c r="C5" s="3"/>
      <c r="D5" s="3"/>
      <c r="E5" s="3"/>
    </row>
    <row r="6" spans="1:5" x14ac:dyDescent="0.25">
      <c r="A6" s="2" t="str">
        <f ca="1">IFERROR(__xludf.DUMMYFUNCTION("""COMPUTED_VALUE"""),"A0020")</f>
        <v>A0020</v>
      </c>
      <c r="B6" s="3" t="str">
        <f ca="1">IFERROR(__xludf.DUMMYFUNCTION("""COMPUTED_VALUE"""),"好食好事加速器")</f>
        <v>好食好事加速器</v>
      </c>
      <c r="C6" s="3"/>
      <c r="D6" s="3"/>
      <c r="E6" s="3"/>
    </row>
    <row r="7" spans="1:5" x14ac:dyDescent="0.25">
      <c r="A7" s="2" t="str">
        <f ca="1">IFERROR(__xludf.DUMMYFUNCTION("""COMPUTED_VALUE"""),"A0023")</f>
        <v>A0023</v>
      </c>
      <c r="B7" s="3" t="str">
        <f ca="1">IFERROR(__xludf.DUMMYFUNCTION("""COMPUTED_VALUE"""),"酷日國際有限公司")</f>
        <v>酷日國際有限公司</v>
      </c>
      <c r="C7" s="3"/>
      <c r="D7" s="3"/>
      <c r="E7" s="3"/>
    </row>
    <row r="8" spans="1:5" x14ac:dyDescent="0.25">
      <c r="A8" s="2" t="str">
        <f ca="1">IFERROR(__xludf.DUMMYFUNCTION("""COMPUTED_VALUE"""),"A0026")</f>
        <v>A0026</v>
      </c>
      <c r="B8" s="3" t="str">
        <f ca="1">IFERROR(__xludf.DUMMYFUNCTION("""COMPUTED_VALUE"""),"資誠聯合會計師事務所")</f>
        <v>資誠聯合會計師事務所</v>
      </c>
      <c r="C8" s="3"/>
      <c r="D8" s="3"/>
      <c r="E8" s="3"/>
    </row>
    <row r="9" spans="1:5" x14ac:dyDescent="0.25">
      <c r="A9" s="2" t="str">
        <f ca="1">IFERROR(__xludf.DUMMYFUNCTION("""COMPUTED_VALUE"""),"A0034")</f>
        <v>A0034</v>
      </c>
      <c r="B9" s="3" t="str">
        <f ca="1">IFERROR(__xludf.DUMMYFUNCTION("""COMPUTED_VALUE"""),"StarFab (豪覓管理顧問股份有限公司)")</f>
        <v>StarFab (豪覓管理顧問股份有限公司)</v>
      </c>
      <c r="C9" s="3"/>
      <c r="D9" s="3"/>
      <c r="E9" s="3"/>
    </row>
    <row r="10" spans="1:5" x14ac:dyDescent="0.25">
      <c r="A10" s="2" t="str">
        <f ca="1">IFERROR(__xludf.DUMMYFUNCTION("""COMPUTED_VALUE"""),"A0055")</f>
        <v>A0055</v>
      </c>
      <c r="B10" s="3" t="str">
        <f ca="1">IFERROR(__xludf.DUMMYFUNCTION("""COMPUTED_VALUE"""),"資誠聯合會計師事務所")</f>
        <v>資誠聯合會計師事務所</v>
      </c>
      <c r="C10" s="3"/>
      <c r="D10" s="3"/>
      <c r="E10" s="3"/>
    </row>
    <row r="11" spans="1:5" x14ac:dyDescent="0.25">
      <c r="A11" s="2" t="str">
        <f ca="1">IFERROR(__xludf.DUMMYFUNCTION("""COMPUTED_VALUE"""),"A0059")</f>
        <v>A0059</v>
      </c>
      <c r="B11" s="3" t="str">
        <f ca="1">IFERROR(__xludf.DUMMYFUNCTION("""COMPUTED_VALUE"""),"SparkLabs Taiwan 斯伯克國際創業投資有限公司")</f>
        <v>SparkLabs Taiwan 斯伯克國際創業投資有限公司</v>
      </c>
      <c r="C11" s="3"/>
      <c r="D11" s="3"/>
      <c r="E11" s="3"/>
    </row>
    <row r="12" spans="1:5" x14ac:dyDescent="0.25">
      <c r="A12" s="2" t="str">
        <f ca="1">IFERROR(__xludf.DUMMYFUNCTION("""COMPUTED_VALUE"""),"A0067")</f>
        <v>A0067</v>
      </c>
      <c r="B12" s="3" t="str">
        <f ca="1">IFERROR(__xludf.DUMMYFUNCTION("""COMPUTED_VALUE"""),"尚未報名/媒合中")</f>
        <v>尚未報名/媒合中</v>
      </c>
      <c r="C12" s="3"/>
      <c r="D12" s="3"/>
      <c r="E12" s="3"/>
    </row>
    <row r="13" spans="1:5" x14ac:dyDescent="0.25">
      <c r="A13" s="2" t="str">
        <f ca="1">IFERROR(__xludf.DUMMYFUNCTION("""COMPUTED_VALUE"""),"A0073")</f>
        <v>A0073</v>
      </c>
      <c r="B13" s="3" t="str">
        <f ca="1">IFERROR(__xludf.DUMMYFUNCTION("""COMPUTED_VALUE"""),"Mighty Net(邁特創新基地)")</f>
        <v>Mighty Net(邁特創新基地)</v>
      </c>
      <c r="C13" s="3"/>
      <c r="D13" s="3"/>
      <c r="E13" s="3"/>
    </row>
    <row r="14" spans="1:5" x14ac:dyDescent="0.25">
      <c r="A14" s="2" t="str">
        <f ca="1">IFERROR(__xludf.DUMMYFUNCTION("""COMPUTED_VALUE"""),"A0076")</f>
        <v>A0076</v>
      </c>
      <c r="B14" s="3" t="str">
        <f ca="1">IFERROR(__xludf.DUMMYFUNCTION("""COMPUTED_VALUE"""),"StarFab (豪覓管理顧問股份有限公司)")</f>
        <v>StarFab (豪覓管理顧問股份有限公司)</v>
      </c>
      <c r="C14" s="3"/>
      <c r="D14" s="3"/>
      <c r="E14" s="3"/>
    </row>
    <row r="15" spans="1:5" x14ac:dyDescent="0.25">
      <c r="A15" s="2" t="str">
        <f ca="1">IFERROR(__xludf.DUMMYFUNCTION("""COMPUTED_VALUE"""),"A0078")</f>
        <v>A0078</v>
      </c>
      <c r="B15" s="3" t="str">
        <f ca="1">IFERROR(__xludf.DUMMYFUNCTION("""COMPUTED_VALUE"""),"酷日國際有限公司")</f>
        <v>酷日國際有限公司</v>
      </c>
      <c r="C15" s="3"/>
      <c r="D15" s="3"/>
      <c r="E15" s="3"/>
    </row>
    <row r="16" spans="1:5" x14ac:dyDescent="0.25">
      <c r="A16" s="2" t="str">
        <f ca="1">IFERROR(__xludf.DUMMYFUNCTION("""COMPUTED_VALUE"""),"A0111")</f>
        <v>A0111</v>
      </c>
      <c r="B16" s="3" t="str">
        <f ca="1">IFERROR(__xludf.DUMMYFUNCTION("""COMPUTED_VALUE"""),"Mosaic Venture Lab 宇斻管理顧問股份有限公司")</f>
        <v>Mosaic Venture Lab 宇斻管理顧問股份有限公司</v>
      </c>
      <c r="C16" s="3"/>
      <c r="D16" s="3"/>
      <c r="E16" s="3"/>
    </row>
    <row r="17" spans="1:5" x14ac:dyDescent="0.25">
      <c r="A17" s="2" t="str">
        <f ca="1">IFERROR(__xludf.DUMMYFUNCTION("""COMPUTED_VALUE"""),"A0126")</f>
        <v>A0126</v>
      </c>
      <c r="B17" s="3" t="str">
        <f ca="1">IFERROR(__xludf.DUMMYFUNCTION("""COMPUTED_VALUE"""),"好食好事加速器")</f>
        <v>好食好事加速器</v>
      </c>
      <c r="C17" s="3"/>
      <c r="D17" s="3"/>
      <c r="E17" s="3"/>
    </row>
    <row r="18" spans="1:5" x14ac:dyDescent="0.25">
      <c r="A18" s="2" t="str">
        <f ca="1">IFERROR(__xludf.DUMMYFUNCTION("""COMPUTED_VALUE"""),"A0131")</f>
        <v>A0131</v>
      </c>
      <c r="B18" s="3" t="str">
        <f ca="1">IFERROR(__xludf.DUMMYFUNCTION("""COMPUTED_VALUE"""),"StarFab (豪覓管理顧問股份有限公司)")</f>
        <v>StarFab (豪覓管理顧問股份有限公司)</v>
      </c>
      <c r="C18" s="3"/>
      <c r="D18" s="3"/>
      <c r="E18" s="3"/>
    </row>
    <row r="19" spans="1:5" x14ac:dyDescent="0.25">
      <c r="A19" s="2" t="str">
        <f ca="1">IFERROR(__xludf.DUMMYFUNCTION("""COMPUTED_VALUE"""),"A0135")</f>
        <v>A0135</v>
      </c>
      <c r="B19" s="3" t="str">
        <f ca="1">IFERROR(__xludf.DUMMYFUNCTION("""COMPUTED_VALUE"""),"國立陽明交通大學產業加速器暨專利開發策略中心")</f>
        <v>國立陽明交通大學產業加速器暨專利開發策略中心</v>
      </c>
      <c r="C19" s="3"/>
      <c r="D19" s="3"/>
      <c r="E19" s="3"/>
    </row>
    <row r="20" spans="1:5" x14ac:dyDescent="0.25">
      <c r="A20" s="2" t="str">
        <f ca="1">IFERROR(__xludf.DUMMYFUNCTION("""COMPUTED_VALUE"""),"A0143")</f>
        <v>A0143</v>
      </c>
      <c r="B20" s="3" t="str">
        <f ca="1">IFERROR(__xludf.DUMMYFUNCTION("""COMPUTED_VALUE"""),"StarFab (豪覓管理顧問股份有限公司)")</f>
        <v>StarFab (豪覓管理顧問股份有限公司)</v>
      </c>
      <c r="C20" s="3"/>
      <c r="D20" s="3"/>
      <c r="E20" s="3"/>
    </row>
    <row r="21" spans="1:5" x14ac:dyDescent="0.25">
      <c r="A21" s="2" t="str">
        <f ca="1">IFERROR(__xludf.DUMMYFUNCTION("""COMPUTED_VALUE"""),"A0155")</f>
        <v>A0155</v>
      </c>
      <c r="B21" s="3" t="str">
        <f ca="1">IFERROR(__xludf.DUMMYFUNCTION("""COMPUTED_VALUE"""),"StarFab (豪覓管理顧問股份有限公司)")</f>
        <v>StarFab (豪覓管理顧問股份有限公司)</v>
      </c>
      <c r="C21" s="3"/>
      <c r="D21" s="3"/>
      <c r="E21" s="3"/>
    </row>
    <row r="22" spans="1:5" x14ac:dyDescent="0.25">
      <c r="A22" s="2" t="str">
        <f ca="1">IFERROR(__xludf.DUMMYFUNCTION("""COMPUTED_VALUE"""),"A0168")</f>
        <v>A0168</v>
      </c>
      <c r="B22" s="3" t="str">
        <f ca="1">IFERROR(__xludf.DUMMYFUNCTION("""COMPUTED_VALUE"""),"SparkLabs Taiwan 斯伯克國際創業投資有限公司")</f>
        <v>SparkLabs Taiwan 斯伯克國際創業投資有限公司</v>
      </c>
      <c r="C22" s="3"/>
      <c r="D22" s="3"/>
      <c r="E22" s="3"/>
    </row>
    <row r="23" spans="1:5" x14ac:dyDescent="0.25">
      <c r="A23" s="2" t="str">
        <f ca="1">IFERROR(__xludf.DUMMYFUNCTION("""COMPUTED_VALUE"""),"A0175")</f>
        <v>A0175</v>
      </c>
      <c r="B23" s="3" t="str">
        <f ca="1">IFERROR(__xludf.DUMMYFUNCTION("""COMPUTED_VALUE"""),"Mosaic Venture Lab 宇斻管理顧問股份有限公司")</f>
        <v>Mosaic Venture Lab 宇斻管理顧問股份有限公司</v>
      </c>
      <c r="C23" s="3"/>
      <c r="D23" s="3"/>
      <c r="E23" s="3"/>
    </row>
    <row r="24" spans="1:5" x14ac:dyDescent="0.25">
      <c r="A24" s="2" t="str">
        <f ca="1">IFERROR(__xludf.DUMMYFUNCTION("""COMPUTED_VALUE"""),"A0178")</f>
        <v>A0178</v>
      </c>
      <c r="B24" s="3" t="str">
        <f ca="1">IFERROR(__xludf.DUMMYFUNCTION("""COMPUTED_VALUE"""),"SparkLabs Taiwan 斯伯克國際創業投資有限公司")</f>
        <v>SparkLabs Taiwan 斯伯克國際創業投資有限公司</v>
      </c>
      <c r="C24" s="3"/>
      <c r="D24" s="3"/>
      <c r="E24" s="3"/>
    </row>
    <row r="25" spans="1:5" x14ac:dyDescent="0.25">
      <c r="A25" s="2" t="str">
        <f ca="1">IFERROR(__xludf.DUMMYFUNCTION("""COMPUTED_VALUE"""),"A0181")</f>
        <v>A0181</v>
      </c>
      <c r="B25" s="3" t="str">
        <f ca="1">IFERROR(__xludf.DUMMYFUNCTION("""COMPUTED_VALUE"""),"國立陽明交通大學產業加速器暨專利開發策略中心")</f>
        <v>國立陽明交通大學產業加速器暨專利開發策略中心</v>
      </c>
      <c r="C25" s="3"/>
      <c r="D25" s="3"/>
      <c r="E25" s="3"/>
    </row>
    <row r="26" spans="1:5" x14ac:dyDescent="0.25">
      <c r="A26" s="2" t="str">
        <f ca="1">IFERROR(__xludf.DUMMYFUNCTION("""COMPUTED_VALUE"""),"A0204")</f>
        <v>A0204</v>
      </c>
      <c r="B26" s="3" t="str">
        <f ca="1">IFERROR(__xludf.DUMMYFUNCTION("""COMPUTED_VALUE"""),"StarFab (豪覓管理顧問股份有限公司)")</f>
        <v>StarFab (豪覓管理顧問股份有限公司)</v>
      </c>
      <c r="C26" s="3"/>
      <c r="D26" s="3"/>
      <c r="E26" s="3"/>
    </row>
    <row r="27" spans="1:5" x14ac:dyDescent="0.25">
      <c r="A27" s="2" t="str">
        <f ca="1">IFERROR(__xludf.DUMMYFUNCTION("""COMPUTED_VALUE"""),"A0212")</f>
        <v>A0212</v>
      </c>
      <c r="B27" s="3" t="str">
        <f ca="1">IFERROR(__xludf.DUMMYFUNCTION("""COMPUTED_VALUE"""),"扶田資本股份有限公司")</f>
        <v>扶田資本股份有限公司</v>
      </c>
      <c r="C27" s="3"/>
      <c r="D27" s="3"/>
      <c r="E27" s="3"/>
    </row>
    <row r="28" spans="1:5" x14ac:dyDescent="0.25">
      <c r="A28" s="2" t="str">
        <f ca="1">IFERROR(__xludf.DUMMYFUNCTION("""COMPUTED_VALUE"""),"A0214")</f>
        <v>A0214</v>
      </c>
      <c r="B28" s="3" t="str">
        <f ca="1">IFERROR(__xludf.DUMMYFUNCTION("""COMPUTED_VALUE"""),"資育股份有限公司")</f>
        <v>資育股份有限公司</v>
      </c>
      <c r="C28" s="3"/>
      <c r="D28" s="3"/>
      <c r="E28" s="3"/>
    </row>
    <row r="29" spans="1:5" x14ac:dyDescent="0.25">
      <c r="A29" s="2" t="str">
        <f ca="1">IFERROR(__xludf.DUMMYFUNCTION("""COMPUTED_VALUE"""),"A0217")</f>
        <v>A0217</v>
      </c>
      <c r="B29" s="3" t="str">
        <f ca="1">IFERROR(__xludf.DUMMYFUNCTION("""COMPUTED_VALUE"""),"SparkLabs Taiwan 斯伯克國際創業投資有限公司")</f>
        <v>SparkLabs Taiwan 斯伯克國際創業投資有限公司</v>
      </c>
      <c r="C29" s="3"/>
      <c r="D29" s="3"/>
      <c r="E29" s="3"/>
    </row>
    <row r="30" spans="1:5" x14ac:dyDescent="0.25">
      <c r="A30" s="2" t="str">
        <f ca="1">IFERROR(__xludf.DUMMYFUNCTION("""COMPUTED_VALUE"""),"A0219")</f>
        <v>A0219</v>
      </c>
      <c r="B30" s="3" t="str">
        <f ca="1">IFERROR(__xludf.DUMMYFUNCTION("""COMPUTED_VALUE"""),"資育股份有限公司")</f>
        <v>資育股份有限公司</v>
      </c>
      <c r="C30" s="3"/>
      <c r="D30" s="3"/>
      <c r="E30" s="3"/>
    </row>
    <row r="31" spans="1:5" x14ac:dyDescent="0.25">
      <c r="A31" s="2" t="str">
        <f ca="1">IFERROR(__xludf.DUMMYFUNCTION("""COMPUTED_VALUE"""),"A0220")</f>
        <v>A0220</v>
      </c>
      <c r="B31" s="3" t="str">
        <f ca="1">IFERROR(__xludf.DUMMYFUNCTION("""COMPUTED_VALUE"""),"SparkLabs Taiwan 斯伯克國際創業投資有限公司")</f>
        <v>SparkLabs Taiwan 斯伯克國際創業投資有限公司</v>
      </c>
      <c r="C31" s="3"/>
      <c r="D31" s="3"/>
      <c r="E31" s="3"/>
    </row>
    <row r="32" spans="1:5" x14ac:dyDescent="0.25">
      <c r="A32" s="2" t="str">
        <f ca="1">IFERROR(__xludf.DUMMYFUNCTION("""COMPUTED_VALUE"""),"A0231")</f>
        <v>A0231</v>
      </c>
      <c r="B32" s="3" t="str">
        <f ca="1">IFERROR(__xludf.DUMMYFUNCTION("""COMPUTED_VALUE"""),"SparkLabs Taiwan 斯伯克國際創業投資有限公司")</f>
        <v>SparkLabs Taiwan 斯伯克國際創業投資有限公司</v>
      </c>
      <c r="C32" s="3"/>
      <c r="D32" s="3"/>
      <c r="E32" s="3"/>
    </row>
    <row r="33" spans="1:5" x14ac:dyDescent="0.25">
      <c r="A33" s="2" t="str">
        <f ca="1">IFERROR(__xludf.DUMMYFUNCTION("""COMPUTED_VALUE"""),"A0251")</f>
        <v>A0251</v>
      </c>
      <c r="B33" s="3" t="str">
        <f ca="1">IFERROR(__xludf.DUMMYFUNCTION("""COMPUTED_VALUE"""),"遠邦國際品牌CrossBond")</f>
        <v>遠邦國際品牌CrossBond</v>
      </c>
      <c r="C33" s="3"/>
      <c r="D33" s="3"/>
      <c r="E33" s="3"/>
    </row>
    <row r="34" spans="1:5" x14ac:dyDescent="0.25">
      <c r="A34" s="2" t="str">
        <f ca="1">IFERROR(__xludf.DUMMYFUNCTION("""COMPUTED_VALUE"""),"A0259")</f>
        <v>A0259</v>
      </c>
      <c r="B34" s="3" t="str">
        <f ca="1">IFERROR(__xludf.DUMMYFUNCTION("""COMPUTED_VALUE"""),"國立陽明交通大學產業加速器暨專利開發策略中心")</f>
        <v>國立陽明交通大學產業加速器暨專利開發策略中心</v>
      </c>
      <c r="C34" s="3"/>
      <c r="D34" s="3"/>
      <c r="E34" s="3"/>
    </row>
    <row r="35" spans="1:5" x14ac:dyDescent="0.25">
      <c r="A35" s="2" t="str">
        <f ca="1">IFERROR(__xludf.DUMMYFUNCTION("""COMPUTED_VALUE"""),"A0260")</f>
        <v>A0260</v>
      </c>
      <c r="B35" s="3" t="str">
        <f ca="1">IFERROR(__xludf.DUMMYFUNCTION("""COMPUTED_VALUE"""),"國立陽明交通大學產業加速器暨專利開發策略中心")</f>
        <v>國立陽明交通大學產業加速器暨專利開發策略中心</v>
      </c>
      <c r="C35" s="3"/>
      <c r="D35" s="3"/>
      <c r="E35" s="3"/>
    </row>
    <row r="36" spans="1:5" x14ac:dyDescent="0.25">
      <c r="A36" s="2" t="str">
        <f ca="1">IFERROR(__xludf.DUMMYFUNCTION("""COMPUTED_VALUE"""),"A0268")</f>
        <v>A0268</v>
      </c>
      <c r="B36" s="3" t="str">
        <f ca="1">IFERROR(__xludf.DUMMYFUNCTION("""COMPUTED_VALUE"""),"Mosaic Venture Lab 宇斻管理顧問股份有限公司")</f>
        <v>Mosaic Venture Lab 宇斻管理顧問股份有限公司</v>
      </c>
      <c r="C36" s="3"/>
      <c r="D36" s="3"/>
      <c r="E36" s="3"/>
    </row>
    <row r="37" spans="1:5" x14ac:dyDescent="0.25">
      <c r="A37" s="2" t="str">
        <f ca="1">IFERROR(__xludf.DUMMYFUNCTION("""COMPUTED_VALUE"""),"A0269")</f>
        <v>A0269</v>
      </c>
      <c r="B37" s="3" t="str">
        <f ca="1">IFERROR(__xludf.DUMMYFUNCTION("""COMPUTED_VALUE"""),"資育股份有限公司")</f>
        <v>資育股份有限公司</v>
      </c>
      <c r="C37" s="3"/>
      <c r="D37" s="3"/>
      <c r="E37" s="3"/>
    </row>
    <row r="38" spans="1:5" x14ac:dyDescent="0.25">
      <c r="A38" s="2" t="str">
        <f ca="1">IFERROR(__xludf.DUMMYFUNCTION("""COMPUTED_VALUE"""),"A0276")</f>
        <v>A0276</v>
      </c>
      <c r="B38" s="3" t="str">
        <f ca="1">IFERROR(__xludf.DUMMYFUNCTION("""COMPUTED_VALUE"""),"Garage+")</f>
        <v>Garage+</v>
      </c>
      <c r="C38" s="3"/>
      <c r="D38" s="3"/>
      <c r="E38" s="3"/>
    </row>
    <row r="39" spans="1:5" x14ac:dyDescent="0.25">
      <c r="A39" s="2" t="str">
        <f ca="1">IFERROR(__xludf.DUMMYFUNCTION("""COMPUTED_VALUE"""),"A0290")</f>
        <v>A0290</v>
      </c>
      <c r="B39" s="3" t="str">
        <f ca="1">IFERROR(__xludf.DUMMYFUNCTION("""COMPUTED_VALUE"""),"Muse Builder")</f>
        <v>Muse Builder</v>
      </c>
      <c r="C39" s="3"/>
      <c r="D39" s="3"/>
      <c r="E39" s="3"/>
    </row>
    <row r="40" spans="1:5" x14ac:dyDescent="0.25">
      <c r="A40" s="2" t="str">
        <f ca="1">IFERROR(__xludf.DUMMYFUNCTION("""COMPUTED_VALUE"""),"A0298")</f>
        <v>A0298</v>
      </c>
      <c r="B40" s="3" t="str">
        <f ca="1">IFERROR(__xludf.DUMMYFUNCTION("""COMPUTED_VALUE"""),"購威經濟股份有限公司(智慧高軟)")</f>
        <v>購威經濟股份有限公司(智慧高軟)</v>
      </c>
      <c r="C40" s="3"/>
      <c r="D40" s="3"/>
      <c r="E40" s="3"/>
    </row>
    <row r="41" spans="1:5" x14ac:dyDescent="0.25">
      <c r="A41" s="2" t="str">
        <f ca="1">IFERROR(__xludf.DUMMYFUNCTION("""COMPUTED_VALUE"""),"A0299")</f>
        <v>A0299</v>
      </c>
      <c r="B41" s="3" t="str">
        <f ca="1">IFERROR(__xludf.DUMMYFUNCTION("""COMPUTED_VALUE"""),"尚未報名/媒合中")</f>
        <v>尚未報名/媒合中</v>
      </c>
      <c r="C41" s="3"/>
      <c r="D41" s="3"/>
      <c r="E41" s="3"/>
    </row>
    <row r="42" spans="1:5" x14ac:dyDescent="0.25">
      <c r="A42" s="2" t="str">
        <f ca="1">IFERROR(__xludf.DUMMYFUNCTION("""COMPUTED_VALUE"""),"A0300")</f>
        <v>A0300</v>
      </c>
      <c r="B42" s="3" t="str">
        <f ca="1">IFERROR(__xludf.DUMMYFUNCTION("""COMPUTED_VALUE"""),"資育股份有限公司")</f>
        <v>資育股份有限公司</v>
      </c>
      <c r="C42" s="3"/>
      <c r="D42" s="3"/>
      <c r="E42" s="3"/>
    </row>
    <row r="43" spans="1:5" x14ac:dyDescent="0.25">
      <c r="A43" s="2" t="str">
        <f ca="1">IFERROR(__xludf.DUMMYFUNCTION("""COMPUTED_VALUE"""),"A0319")</f>
        <v>A0319</v>
      </c>
      <c r="B43" s="3" t="str">
        <f ca="1">IFERROR(__xludf.DUMMYFUNCTION("""COMPUTED_VALUE"""),"SparkLabs Taiwan 斯伯克國際創業投資有限公司")</f>
        <v>SparkLabs Taiwan 斯伯克國際創業投資有限公司</v>
      </c>
      <c r="C43" s="3"/>
      <c r="D43" s="3"/>
      <c r="E43" s="3"/>
    </row>
    <row r="44" spans="1:5" x14ac:dyDescent="0.25">
      <c r="A44" s="2" t="str">
        <f ca="1">IFERROR(__xludf.DUMMYFUNCTION("""COMPUTED_VALUE"""),"A0330")</f>
        <v>A0330</v>
      </c>
      <c r="B44" s="3" t="str">
        <f ca="1">IFERROR(__xludf.DUMMYFUNCTION("""COMPUTED_VALUE"""),"StarFab (豪覓管理顧問股份有限公司)")</f>
        <v>StarFab (豪覓管理顧問股份有限公司)</v>
      </c>
      <c r="C44" s="3"/>
      <c r="D44" s="3"/>
      <c r="E44" s="3"/>
    </row>
    <row r="45" spans="1:5" x14ac:dyDescent="0.25">
      <c r="A45" s="2" t="str">
        <f ca="1">IFERROR(__xludf.DUMMYFUNCTION("""COMPUTED_VALUE"""),"A0336")</f>
        <v>A0336</v>
      </c>
      <c r="B45" s="3" t="str">
        <f ca="1">IFERROR(__xludf.DUMMYFUNCTION("""COMPUTED_VALUE"""),"比翼生醫")</f>
        <v>比翼生醫</v>
      </c>
      <c r="C45" s="3"/>
      <c r="D45" s="3"/>
      <c r="E45" s="3"/>
    </row>
    <row r="46" spans="1:5" x14ac:dyDescent="0.25">
      <c r="A46" s="2" t="str">
        <f ca="1">IFERROR(__xludf.DUMMYFUNCTION("""COMPUTED_VALUE"""),"A0337")</f>
        <v>A0337</v>
      </c>
      <c r="B46" s="3" t="str">
        <f ca="1">IFERROR(__xludf.DUMMYFUNCTION("""COMPUTED_VALUE"""),"比翼生醫")</f>
        <v>比翼生醫</v>
      </c>
      <c r="C46" s="3"/>
      <c r="D46" s="3"/>
      <c r="E46" s="3"/>
    </row>
    <row r="47" spans="1:5" x14ac:dyDescent="0.25">
      <c r="A47" s="2" t="str">
        <f ca="1">IFERROR(__xludf.DUMMYFUNCTION("""COMPUTED_VALUE"""),"A0350")</f>
        <v>A0350</v>
      </c>
      <c r="B47" s="3" t="str">
        <f ca="1">IFERROR(__xludf.DUMMYFUNCTION("""COMPUTED_VALUE"""),"資誠聯合會計師事務所")</f>
        <v>資誠聯合會計師事務所</v>
      </c>
      <c r="C47" s="3"/>
      <c r="D47" s="3"/>
      <c r="E47" s="3"/>
    </row>
    <row r="48" spans="1:5" x14ac:dyDescent="0.25">
      <c r="A48" s="2" t="str">
        <f ca="1">IFERROR(__xludf.DUMMYFUNCTION("""COMPUTED_VALUE"""),"A0352")</f>
        <v>A0352</v>
      </c>
      <c r="B48" s="3" t="str">
        <f ca="1">IFERROR(__xludf.DUMMYFUNCTION("""COMPUTED_VALUE"""),"比翼生醫")</f>
        <v>比翼生醫</v>
      </c>
      <c r="C48" s="3"/>
      <c r="D48" s="3"/>
      <c r="E48" s="3"/>
    </row>
    <row r="49" spans="1:5" x14ac:dyDescent="0.25">
      <c r="A49" s="2" t="str">
        <f ca="1">IFERROR(__xludf.DUMMYFUNCTION("""COMPUTED_VALUE"""),"Ａ0359")</f>
        <v>Ａ0359</v>
      </c>
      <c r="B49" s="3" t="str">
        <f ca="1">IFERROR(__xludf.DUMMYFUNCTION("""COMPUTED_VALUE"""),"安永聯合會計師事務所")</f>
        <v>安永聯合會計師事務所</v>
      </c>
      <c r="C49" s="3"/>
      <c r="D49" s="3"/>
      <c r="E49" s="3"/>
    </row>
    <row r="50" spans="1:5" x14ac:dyDescent="0.25">
      <c r="A50" s="2" t="str">
        <f ca="1">IFERROR(__xludf.DUMMYFUNCTION("""COMPUTED_VALUE"""),"A0362")</f>
        <v>A0362</v>
      </c>
      <c r="B50" s="3" t="str">
        <f ca="1">IFERROR(__xludf.DUMMYFUNCTION("""COMPUTED_VALUE"""),"聯合創新加速器")</f>
        <v>聯合創新加速器</v>
      </c>
      <c r="C50" s="3"/>
      <c r="D50" s="3"/>
      <c r="E50" s="3"/>
    </row>
    <row r="51" spans="1:5" x14ac:dyDescent="0.25">
      <c r="A51" s="2" t="str">
        <f ca="1">IFERROR(__xludf.DUMMYFUNCTION("""COMPUTED_VALUE"""),"A0363")</f>
        <v>A0363</v>
      </c>
      <c r="B51" s="3" t="str">
        <f ca="1">IFERROR(__xludf.DUMMYFUNCTION("""COMPUTED_VALUE"""),"資誠聯合會計師事務所")</f>
        <v>資誠聯合會計師事務所</v>
      </c>
      <c r="C51" s="3"/>
      <c r="D51" s="3"/>
      <c r="E51" s="3"/>
    </row>
    <row r="52" spans="1:5" x14ac:dyDescent="0.25">
      <c r="A52" s="2" t="str">
        <f ca="1">IFERROR(__xludf.DUMMYFUNCTION("""COMPUTED_VALUE"""),"A0370")</f>
        <v>A0370</v>
      </c>
      <c r="B52" s="3" t="str">
        <f ca="1">IFERROR(__xludf.DUMMYFUNCTION("""COMPUTED_VALUE"""),"安永聯合會計師事務所")</f>
        <v>安永聯合會計師事務所</v>
      </c>
      <c r="C52" s="3"/>
      <c r="D52" s="3"/>
      <c r="E52" s="3"/>
    </row>
    <row r="53" spans="1:5" x14ac:dyDescent="0.25">
      <c r="A53" s="2" t="str">
        <f ca="1">IFERROR(__xludf.DUMMYFUNCTION("""COMPUTED_VALUE"""),"A0398")</f>
        <v>A0398</v>
      </c>
      <c r="B53" s="3" t="str">
        <f ca="1">IFERROR(__xludf.DUMMYFUNCTION("""COMPUTED_VALUE"""),"好食好事加速器")</f>
        <v>好食好事加速器</v>
      </c>
      <c r="C53" s="3"/>
      <c r="D53" s="3"/>
      <c r="E53" s="3"/>
    </row>
    <row r="54" spans="1:5" x14ac:dyDescent="0.25">
      <c r="A54" s="2" t="str">
        <f ca="1">IFERROR(__xludf.DUMMYFUNCTION("""COMPUTED_VALUE"""),"A0408")</f>
        <v>A0408</v>
      </c>
      <c r="B54" s="3" t="str">
        <f ca="1">IFERROR(__xludf.DUMMYFUNCTION("""COMPUTED_VALUE"""),"比翼生醫")</f>
        <v>比翼生醫</v>
      </c>
      <c r="C54" s="3"/>
      <c r="D54" s="3"/>
      <c r="E54" s="3"/>
    </row>
    <row r="55" spans="1:5" x14ac:dyDescent="0.25">
      <c r="A55" s="2" t="str">
        <f ca="1">IFERROR(__xludf.DUMMYFUNCTION("""COMPUTED_VALUE"""),"A0415")</f>
        <v>A0415</v>
      </c>
      <c r="B55" s="3" t="str">
        <f ca="1">IFERROR(__xludf.DUMMYFUNCTION("""COMPUTED_VALUE"""),"聯合創新加速器")</f>
        <v>聯合創新加速器</v>
      </c>
      <c r="C55" s="3"/>
      <c r="D55" s="3"/>
      <c r="E55" s="3"/>
    </row>
    <row r="56" spans="1:5" x14ac:dyDescent="0.25">
      <c r="A56" s="2" t="str">
        <f ca="1">IFERROR(__xludf.DUMMYFUNCTION("""COMPUTED_VALUE"""),"A0431")</f>
        <v>A0431</v>
      </c>
      <c r="B56" s="3" t="str">
        <f ca="1">IFERROR(__xludf.DUMMYFUNCTION("""COMPUTED_VALUE"""),"SparkLabs Taiwan 斯伯克國際創業投資有限公司")</f>
        <v>SparkLabs Taiwan 斯伯克國際創業投資有限公司</v>
      </c>
      <c r="C56" s="3"/>
      <c r="D56" s="3"/>
      <c r="E56" s="3"/>
    </row>
    <row r="57" spans="1:5" x14ac:dyDescent="0.25">
      <c r="A57" s="2" t="str">
        <f ca="1">IFERROR(__xludf.DUMMYFUNCTION("""COMPUTED_VALUE"""),"A0434")</f>
        <v>A0434</v>
      </c>
      <c r="B57" s="3" t="str">
        <f ca="1">IFERROR(__xludf.DUMMYFUNCTION("""COMPUTED_VALUE"""),"Muse Builder")</f>
        <v>Muse Builder</v>
      </c>
      <c r="C57" s="3"/>
      <c r="D57" s="3"/>
      <c r="E57" s="3"/>
    </row>
    <row r="58" spans="1:5" x14ac:dyDescent="0.25">
      <c r="A58" s="2" t="str">
        <f ca="1">IFERROR(__xludf.DUMMYFUNCTION("""COMPUTED_VALUE"""),"A0440")</f>
        <v>A0440</v>
      </c>
      <c r="B58" s="3" t="str">
        <f ca="1">IFERROR(__xludf.DUMMYFUNCTION("""COMPUTED_VALUE"""),"StarFab (豪覓管理顧問股份有限公司)")</f>
        <v>StarFab (豪覓管理顧問股份有限公司)</v>
      </c>
      <c r="C58" s="3"/>
      <c r="D58" s="3"/>
      <c r="E58" s="3"/>
    </row>
    <row r="59" spans="1:5" x14ac:dyDescent="0.25">
      <c r="A59" s="2" t="str">
        <f ca="1">IFERROR(__xludf.DUMMYFUNCTION("""COMPUTED_VALUE"""),"A0441")</f>
        <v>A0441</v>
      </c>
      <c r="B59" s="3" t="str">
        <f ca="1">IFERROR(__xludf.DUMMYFUNCTION("""COMPUTED_VALUE"""),"StarFab (豪覓管理顧問股份有限公司)")</f>
        <v>StarFab (豪覓管理顧問股份有限公司)</v>
      </c>
      <c r="C59" s="3"/>
      <c r="D59" s="3"/>
      <c r="E59" s="3"/>
    </row>
    <row r="60" spans="1:5" x14ac:dyDescent="0.25">
      <c r="A60" s="2" t="str">
        <f ca="1">IFERROR(__xludf.DUMMYFUNCTION("""COMPUTED_VALUE"""),"A0449")</f>
        <v>A0449</v>
      </c>
      <c r="B60" s="3" t="str">
        <f ca="1">IFERROR(__xludf.DUMMYFUNCTION("""COMPUTED_VALUE"""),"聯合創新加速器")</f>
        <v>聯合創新加速器</v>
      </c>
      <c r="C60" s="3"/>
      <c r="D60" s="3"/>
      <c r="E60" s="3"/>
    </row>
    <row r="61" spans="1:5" x14ac:dyDescent="0.25">
      <c r="A61" s="2" t="str">
        <f ca="1">IFERROR(__xludf.DUMMYFUNCTION("""COMPUTED_VALUE"""),"A0451")</f>
        <v>A0451</v>
      </c>
      <c r="B61" s="3" t="str">
        <f ca="1">IFERROR(__xludf.DUMMYFUNCTION("""COMPUTED_VALUE"""),"Mighty Net(邁特創新基地)")</f>
        <v>Mighty Net(邁特創新基地)</v>
      </c>
      <c r="C61" s="3"/>
      <c r="D61" s="3"/>
      <c r="E61" s="3"/>
    </row>
    <row r="62" spans="1:5" x14ac:dyDescent="0.25">
      <c r="A62" s="2" t="str">
        <f ca="1">IFERROR(__xludf.DUMMYFUNCTION("""COMPUTED_VALUE"""),"A0463")</f>
        <v>A0463</v>
      </c>
      <c r="B62" s="3" t="str">
        <f ca="1">IFERROR(__xludf.DUMMYFUNCTION("""COMPUTED_VALUE"""),"SparkLabs Taiwan 斯伯克國際創業投資有限公司")</f>
        <v>SparkLabs Taiwan 斯伯克國際創業投資有限公司</v>
      </c>
      <c r="C62" s="3"/>
      <c r="D62" s="3"/>
      <c r="E62" s="3"/>
    </row>
    <row r="63" spans="1:5" x14ac:dyDescent="0.25">
      <c r="A63" s="2" t="str">
        <f ca="1">IFERROR(__xludf.DUMMYFUNCTION("""COMPUTED_VALUE"""),"A0466")</f>
        <v>A0466</v>
      </c>
      <c r="B63" s="3" t="str">
        <f ca="1">IFERROR(__xludf.DUMMYFUNCTION("""COMPUTED_VALUE"""),"資誠聯合會計師事務所")</f>
        <v>資誠聯合會計師事務所</v>
      </c>
      <c r="C63" s="3"/>
      <c r="D63" s="3"/>
      <c r="E63" s="3"/>
    </row>
    <row r="64" spans="1:5" x14ac:dyDescent="0.25">
      <c r="A64" s="2" t="str">
        <f ca="1">IFERROR(__xludf.DUMMYFUNCTION("""COMPUTED_VALUE"""),"A0483")</f>
        <v>A0483</v>
      </c>
      <c r="B64" s="3" t="str">
        <f ca="1">IFERROR(__xludf.DUMMYFUNCTION("""COMPUTED_VALUE"""),"Garage+")</f>
        <v>Garage+</v>
      </c>
      <c r="C64" s="3"/>
      <c r="D64" s="3"/>
      <c r="E64" s="3"/>
    </row>
    <row r="65" spans="1:5" x14ac:dyDescent="0.25">
      <c r="A65" s="2" t="str">
        <f ca="1">IFERROR(__xludf.DUMMYFUNCTION("""COMPUTED_VALUE"""),"A0490")</f>
        <v>A0490</v>
      </c>
      <c r="B65" s="3" t="str">
        <f ca="1">IFERROR(__xludf.DUMMYFUNCTION("""COMPUTED_VALUE"""),"扶田資本股份有限公司")</f>
        <v>扶田資本股份有限公司</v>
      </c>
      <c r="C65" s="3"/>
      <c r="D65" s="3"/>
      <c r="E65" s="3"/>
    </row>
    <row r="66" spans="1:5" x14ac:dyDescent="0.25">
      <c r="A66" s="2" t="str">
        <f ca="1">IFERROR(__xludf.DUMMYFUNCTION("""COMPUTED_VALUE"""),"A0495")</f>
        <v>A0495</v>
      </c>
      <c r="B66" s="3" t="str">
        <f ca="1">IFERROR(__xludf.DUMMYFUNCTION("""COMPUTED_VALUE"""),"尚未報名/媒合中")</f>
        <v>尚未報名/媒合中</v>
      </c>
      <c r="C66" s="3"/>
      <c r="D66" s="3"/>
      <c r="E66" s="3"/>
    </row>
    <row r="67" spans="1:5" x14ac:dyDescent="0.25">
      <c r="A67" s="2" t="str">
        <f ca="1">IFERROR(__xludf.DUMMYFUNCTION("""COMPUTED_VALUE"""),"A0500")</f>
        <v>A0500</v>
      </c>
      <c r="B67" s="3" t="str">
        <f ca="1">IFERROR(__xludf.DUMMYFUNCTION("""COMPUTED_VALUE"""),"聯合創新加速器")</f>
        <v>聯合創新加速器</v>
      </c>
      <c r="C67" s="3"/>
      <c r="D67" s="3"/>
      <c r="E67" s="3"/>
    </row>
    <row r="68" spans="1:5" x14ac:dyDescent="0.25">
      <c r="A68" s="2" t="str">
        <f ca="1">IFERROR(__xludf.DUMMYFUNCTION("""COMPUTED_VALUE"""),"A0502")</f>
        <v>A0502</v>
      </c>
      <c r="B68" s="3" t="str">
        <f ca="1">IFERROR(__xludf.DUMMYFUNCTION("""COMPUTED_VALUE"""),"Mighty Net(邁特創新基地)")</f>
        <v>Mighty Net(邁特創新基地)</v>
      </c>
      <c r="C68" s="3"/>
      <c r="D68" s="3"/>
      <c r="E68" s="3"/>
    </row>
    <row r="69" spans="1:5" x14ac:dyDescent="0.25">
      <c r="A69" s="2" t="str">
        <f ca="1">IFERROR(__xludf.DUMMYFUNCTION("""COMPUTED_VALUE"""),"A0508")</f>
        <v>A0508</v>
      </c>
      <c r="B69" s="3" t="str">
        <f ca="1">IFERROR(__xludf.DUMMYFUNCTION("""COMPUTED_VALUE"""),"Garage+")</f>
        <v>Garage+</v>
      </c>
      <c r="C69" s="3"/>
      <c r="D69" s="3"/>
      <c r="E69" s="3"/>
    </row>
    <row r="70" spans="1:5" x14ac:dyDescent="0.25">
      <c r="A70" s="2" t="str">
        <f ca="1">IFERROR(__xludf.DUMMYFUNCTION("""COMPUTED_VALUE"""),"A0527")</f>
        <v>A0527</v>
      </c>
      <c r="B70" s="3" t="str">
        <f ca="1">IFERROR(__xludf.DUMMYFUNCTION("""COMPUTED_VALUE"""),"SparkLabs Taiwan 斯伯克國際創業投資有限公司")</f>
        <v>SparkLabs Taiwan 斯伯克國際創業投資有限公司</v>
      </c>
      <c r="C70" s="3"/>
      <c r="D70" s="3"/>
      <c r="E70" s="3"/>
    </row>
    <row r="71" spans="1:5" x14ac:dyDescent="0.25">
      <c r="A71" s="2" t="str">
        <f ca="1">IFERROR(__xludf.DUMMYFUNCTION("""COMPUTED_VALUE"""),"A0528")</f>
        <v>A0528</v>
      </c>
      <c r="B71" s="3" t="str">
        <f ca="1">IFERROR(__xludf.DUMMYFUNCTION("""COMPUTED_VALUE"""),"StarFab (豪覓管理顧問股份有限公司)")</f>
        <v>StarFab (豪覓管理顧問股份有限公司)</v>
      </c>
      <c r="C71" s="3"/>
      <c r="D71" s="3"/>
      <c r="E71" s="3"/>
    </row>
    <row r="72" spans="1:5" x14ac:dyDescent="0.25">
      <c r="A72" s="2" t="str">
        <f ca="1">IFERROR(__xludf.DUMMYFUNCTION("""COMPUTED_VALUE"""),"A0533")</f>
        <v>A0533</v>
      </c>
      <c r="B72" s="3" t="str">
        <f ca="1">IFERROR(__xludf.DUMMYFUNCTION("""COMPUTED_VALUE"""),"資誠聯合會計師事務所")</f>
        <v>資誠聯合會計師事務所</v>
      </c>
      <c r="C72" s="3"/>
      <c r="D72" s="3"/>
      <c r="E72" s="3"/>
    </row>
    <row r="73" spans="1:5" x14ac:dyDescent="0.25">
      <c r="A73" s="2" t="str">
        <f ca="1">IFERROR(__xludf.DUMMYFUNCTION("""COMPUTED_VALUE"""),"A0534")</f>
        <v>A0534</v>
      </c>
      <c r="B73" s="3" t="str">
        <f ca="1">IFERROR(__xludf.DUMMYFUNCTION("""COMPUTED_VALUE"""),"酷日國際有限公司")</f>
        <v>酷日國際有限公司</v>
      </c>
      <c r="C73" s="3"/>
      <c r="D73" s="3"/>
      <c r="E73" s="3"/>
    </row>
    <row r="74" spans="1:5" x14ac:dyDescent="0.25">
      <c r="A74" s="2" t="str">
        <f ca="1">IFERROR(__xludf.DUMMYFUNCTION("""COMPUTED_VALUE"""),"A0541")</f>
        <v>A0541</v>
      </c>
      <c r="B74" s="3" t="str">
        <f ca="1">IFERROR(__xludf.DUMMYFUNCTION("""COMPUTED_VALUE"""),"StarFab (豪覓管理顧問股份有限公司)")</f>
        <v>StarFab (豪覓管理顧問股份有限公司)</v>
      </c>
      <c r="C74" s="3"/>
      <c r="D74" s="3"/>
      <c r="E74" s="3"/>
    </row>
    <row r="75" spans="1:5" x14ac:dyDescent="0.25">
      <c r="A75" s="2" t="str">
        <f ca="1">IFERROR(__xludf.DUMMYFUNCTION("""COMPUTED_VALUE"""),"A0542")</f>
        <v>A0542</v>
      </c>
      <c r="B75" s="3" t="str">
        <f ca="1">IFERROR(__xludf.DUMMYFUNCTION("""COMPUTED_VALUE"""),"好食好事加速器")</f>
        <v>好食好事加速器</v>
      </c>
      <c r="C75" s="3"/>
      <c r="D75" s="3"/>
      <c r="E75" s="3"/>
    </row>
    <row r="76" spans="1:5" x14ac:dyDescent="0.25">
      <c r="A76" s="2" t="str">
        <f ca="1">IFERROR(__xludf.DUMMYFUNCTION("""COMPUTED_VALUE"""),"A0551")</f>
        <v>A0551</v>
      </c>
      <c r="B76" s="3" t="str">
        <f ca="1">IFERROR(__xludf.DUMMYFUNCTION("""COMPUTED_VALUE"""),"扶田資本股份有限公司")</f>
        <v>扶田資本股份有限公司</v>
      </c>
      <c r="C76" s="3"/>
      <c r="D76" s="3"/>
      <c r="E76" s="3"/>
    </row>
    <row r="77" spans="1:5" x14ac:dyDescent="0.25">
      <c r="A77" s="2" t="str">
        <f ca="1">IFERROR(__xludf.DUMMYFUNCTION("""COMPUTED_VALUE"""),"A0565")</f>
        <v>A0565</v>
      </c>
      <c r="B77" s="3" t="str">
        <f ca="1">IFERROR(__xludf.DUMMYFUNCTION("""COMPUTED_VALUE"""),"比翼生醫")</f>
        <v>比翼生醫</v>
      </c>
      <c r="C77" s="3"/>
      <c r="D77" s="3"/>
      <c r="E77" s="3"/>
    </row>
    <row r="78" spans="1:5" x14ac:dyDescent="0.25">
      <c r="A78" s="2" t="str">
        <f ca="1">IFERROR(__xludf.DUMMYFUNCTION("""COMPUTED_VALUE"""),"A0568")</f>
        <v>A0568</v>
      </c>
      <c r="B78" s="3" t="str">
        <f ca="1">IFERROR(__xludf.DUMMYFUNCTION("""COMPUTED_VALUE"""),"生物技術開發中心(南港生技育成中心)")</f>
        <v>生物技術開發中心(南港生技育成中心)</v>
      </c>
      <c r="C78" s="3"/>
      <c r="D78" s="3"/>
      <c r="E78" s="3"/>
    </row>
    <row r="79" spans="1:5" x14ac:dyDescent="0.25">
      <c r="A79" s="2" t="str">
        <f ca="1">IFERROR(__xludf.DUMMYFUNCTION("""COMPUTED_VALUE"""),"A0575")</f>
        <v>A0575</v>
      </c>
      <c r="B79" s="3" t="str">
        <f ca="1">IFERROR(__xludf.DUMMYFUNCTION("""COMPUTED_VALUE"""),"Mosaic Venture Lab 宇斻管理顧問股份有限公司")</f>
        <v>Mosaic Venture Lab 宇斻管理顧問股份有限公司</v>
      </c>
      <c r="C79" s="3"/>
      <c r="D79" s="3"/>
      <c r="E79" s="3"/>
    </row>
    <row r="80" spans="1:5" x14ac:dyDescent="0.25">
      <c r="A80" s="2" t="str">
        <f ca="1">IFERROR(__xludf.DUMMYFUNCTION("""COMPUTED_VALUE"""),"A0577")</f>
        <v>A0577</v>
      </c>
      <c r="B80" s="3" t="str">
        <f ca="1">IFERROR(__xludf.DUMMYFUNCTION("""COMPUTED_VALUE"""),"國家衛生研究院/ 創新育成中心")</f>
        <v>國家衛生研究院/ 創新育成中心</v>
      </c>
      <c r="C80" s="3"/>
      <c r="D80" s="3"/>
      <c r="E80" s="3"/>
    </row>
    <row r="81" spans="1:5" x14ac:dyDescent="0.25">
      <c r="A81" s="2" t="str">
        <f ca="1">IFERROR(__xludf.DUMMYFUNCTION("""COMPUTED_VALUE"""),"A0582")</f>
        <v>A0582</v>
      </c>
      <c r="B81" s="3" t="str">
        <f ca="1">IFERROR(__xludf.DUMMYFUNCTION("""COMPUTED_VALUE"""),"SparkLabs Taiwan 斯伯克國際創業投資有限公司")</f>
        <v>SparkLabs Taiwan 斯伯克國際創業投資有限公司</v>
      </c>
      <c r="C81" s="3"/>
      <c r="D81" s="3"/>
      <c r="E81" s="3"/>
    </row>
    <row r="82" spans="1:5" x14ac:dyDescent="0.25">
      <c r="A82" s="2" t="str">
        <f ca="1">IFERROR(__xludf.DUMMYFUNCTION("""COMPUTED_VALUE"""),"A0584")</f>
        <v>A0584</v>
      </c>
      <c r="B82" s="3" t="str">
        <f ca="1">IFERROR(__xludf.DUMMYFUNCTION("""COMPUTED_VALUE"""),"StarFab (豪覓管理顧問股份有限公司)")</f>
        <v>StarFab (豪覓管理顧問股份有限公司)</v>
      </c>
      <c r="C82" s="3"/>
      <c r="D82" s="3"/>
      <c r="E82" s="3"/>
    </row>
    <row r="83" spans="1:5" x14ac:dyDescent="0.25">
      <c r="A83" s="2" t="str">
        <f ca="1">IFERROR(__xludf.DUMMYFUNCTION("""COMPUTED_VALUE"""),"A0586")</f>
        <v>A0586</v>
      </c>
      <c r="B83" s="3" t="str">
        <f ca="1">IFERROR(__xludf.DUMMYFUNCTION("""COMPUTED_VALUE"""),"Garage+")</f>
        <v>Garage+</v>
      </c>
      <c r="C83" s="3"/>
      <c r="D83" s="3"/>
      <c r="E83" s="3"/>
    </row>
    <row r="84" spans="1:5" x14ac:dyDescent="0.25">
      <c r="A84" s="2" t="str">
        <f ca="1">IFERROR(__xludf.DUMMYFUNCTION("""COMPUTED_VALUE"""),"A0597")</f>
        <v>A0597</v>
      </c>
      <c r="B84" s="3" t="str">
        <f ca="1">IFERROR(__xludf.DUMMYFUNCTION("""COMPUTED_VALUE"""),"StarFab (豪覓管理顧問股份有限公司)")</f>
        <v>StarFab (豪覓管理顧問股份有限公司)</v>
      </c>
      <c r="C84" s="3"/>
      <c r="D84" s="3"/>
      <c r="E84" s="3"/>
    </row>
    <row r="85" spans="1:5" x14ac:dyDescent="0.25">
      <c r="A85" s="2" t="str">
        <f ca="1">IFERROR(__xludf.DUMMYFUNCTION("""COMPUTED_VALUE"""),"A0605")</f>
        <v>A0605</v>
      </c>
      <c r="B85" s="3" t="str">
        <f ca="1">IFERROR(__xludf.DUMMYFUNCTION("""COMPUTED_VALUE"""),"安永聯合會計師事務所")</f>
        <v>安永聯合會計師事務所</v>
      </c>
      <c r="C85" s="3"/>
      <c r="D85" s="3"/>
      <c r="E85" s="3"/>
    </row>
    <row r="86" spans="1:5" x14ac:dyDescent="0.25">
      <c r="A86" s="2" t="str">
        <f ca="1">IFERROR(__xludf.DUMMYFUNCTION("""COMPUTED_VALUE"""),"A0613")</f>
        <v>A0613</v>
      </c>
      <c r="B86" s="3" t="str">
        <f ca="1">IFERROR(__xludf.DUMMYFUNCTION("""COMPUTED_VALUE"""),"尚未報名/媒合中")</f>
        <v>尚未報名/媒合中</v>
      </c>
      <c r="C86" s="3"/>
      <c r="D86" s="3"/>
      <c r="E86" s="3"/>
    </row>
    <row r="87" spans="1:5" x14ac:dyDescent="0.25">
      <c r="A87" s="2" t="str">
        <f ca="1">IFERROR(__xludf.DUMMYFUNCTION("""COMPUTED_VALUE"""),"A0615")</f>
        <v>A0615</v>
      </c>
      <c r="B87" s="3" t="str">
        <f ca="1">IFERROR(__xludf.DUMMYFUNCTION("""COMPUTED_VALUE"""),"比翼生醫")</f>
        <v>比翼生醫</v>
      </c>
      <c r="C87" s="3"/>
      <c r="D87" s="3"/>
      <c r="E87" s="3"/>
    </row>
    <row r="88" spans="1:5" x14ac:dyDescent="0.25">
      <c r="A88" s="2" t="str">
        <f ca="1">IFERROR(__xludf.DUMMYFUNCTION("""COMPUTED_VALUE"""),"A0619")</f>
        <v>A0619</v>
      </c>
      <c r="B88" s="3" t="str">
        <f ca="1">IFERROR(__xludf.DUMMYFUNCTION("""COMPUTED_VALUE"""),"酷日國際有限公司")</f>
        <v>酷日國際有限公司</v>
      </c>
      <c r="C88" s="3"/>
      <c r="D88" s="3"/>
      <c r="E88" s="3"/>
    </row>
    <row r="89" spans="1:5" x14ac:dyDescent="0.25">
      <c r="A89" s="2" t="str">
        <f ca="1">IFERROR(__xludf.DUMMYFUNCTION("""COMPUTED_VALUE"""),"A0620")</f>
        <v>A0620</v>
      </c>
      <c r="B89" s="3" t="str">
        <f ca="1">IFERROR(__xludf.DUMMYFUNCTION("""COMPUTED_VALUE"""),"好食好事加速器")</f>
        <v>好食好事加速器</v>
      </c>
      <c r="C89" s="3"/>
      <c r="D89" s="3"/>
      <c r="E89" s="3"/>
    </row>
    <row r="90" spans="1:5" x14ac:dyDescent="0.25">
      <c r="A90" s="2" t="str">
        <f ca="1">IFERROR(__xludf.DUMMYFUNCTION("""COMPUTED_VALUE"""),"A0622")</f>
        <v>A0622</v>
      </c>
      <c r="B90" s="3" t="str">
        <f ca="1">IFERROR(__xludf.DUMMYFUNCTION("""COMPUTED_VALUE"""),"生物技術開發中心(南港生技育成中心)")</f>
        <v>生物技術開發中心(南港生技育成中心)</v>
      </c>
      <c r="C90" s="3"/>
      <c r="D90" s="3"/>
      <c r="E90" s="3"/>
    </row>
    <row r="91" spans="1:5" x14ac:dyDescent="0.25">
      <c r="A91" s="2" t="str">
        <f ca="1">IFERROR(__xludf.DUMMYFUNCTION("""COMPUTED_VALUE"""),"A0623")</f>
        <v>A0623</v>
      </c>
      <c r="B91" s="3" t="str">
        <f ca="1">IFERROR(__xludf.DUMMYFUNCTION("""COMPUTED_VALUE"""),"好食好事加速器")</f>
        <v>好食好事加速器</v>
      </c>
      <c r="C91" s="3"/>
      <c r="D91" s="3"/>
      <c r="E91" s="3"/>
    </row>
    <row r="92" spans="1:5" x14ac:dyDescent="0.25">
      <c r="A92" s="2" t="str">
        <f ca="1">IFERROR(__xludf.DUMMYFUNCTION("""COMPUTED_VALUE"""),"A0627")</f>
        <v>A0627</v>
      </c>
      <c r="B92" s="3" t="str">
        <f ca="1">IFERROR(__xludf.DUMMYFUNCTION("""COMPUTED_VALUE"""),"國家衛生研究院/ 創新育成中心")</f>
        <v>國家衛生研究院/ 創新育成中心</v>
      </c>
      <c r="C92" s="3"/>
      <c r="D92" s="3"/>
      <c r="E92" s="3"/>
    </row>
    <row r="93" spans="1:5" x14ac:dyDescent="0.25">
      <c r="A93" s="2" t="str">
        <f ca="1">IFERROR(__xludf.DUMMYFUNCTION("""COMPUTED_VALUE"""),"A0630")</f>
        <v>A0630</v>
      </c>
      <c r="B93" s="3" t="str">
        <f ca="1">IFERROR(__xludf.DUMMYFUNCTION("""COMPUTED_VALUE"""),"Mighty Net(邁特創新基地)")</f>
        <v>Mighty Net(邁特創新基地)</v>
      </c>
      <c r="C93" s="3"/>
      <c r="D93" s="3"/>
      <c r="E93" s="3"/>
    </row>
    <row r="94" spans="1:5" x14ac:dyDescent="0.25">
      <c r="A94" s="2" t="str">
        <f ca="1">IFERROR(__xludf.DUMMYFUNCTION("""COMPUTED_VALUE"""),"A0634")</f>
        <v>A0634</v>
      </c>
      <c r="B94" s="3" t="str">
        <f ca="1">IFERROR(__xludf.DUMMYFUNCTION("""COMPUTED_VALUE"""),"資誠聯合會計師事務所")</f>
        <v>資誠聯合會計師事務所</v>
      </c>
      <c r="C94" s="3"/>
      <c r="D94" s="3"/>
      <c r="E94" s="3"/>
    </row>
    <row r="95" spans="1:5" x14ac:dyDescent="0.25">
      <c r="A95" s="2" t="str">
        <f ca="1">IFERROR(__xludf.DUMMYFUNCTION("""COMPUTED_VALUE"""),"A0635")</f>
        <v>A0635</v>
      </c>
      <c r="B95" s="3" t="str">
        <f ca="1">IFERROR(__xludf.DUMMYFUNCTION("""COMPUTED_VALUE"""),"聯合創新加速器")</f>
        <v>聯合創新加速器</v>
      </c>
      <c r="C95" s="3"/>
      <c r="D95" s="3"/>
      <c r="E95" s="3"/>
    </row>
    <row r="96" spans="1:5" x14ac:dyDescent="0.25">
      <c r="A96" s="2" t="str">
        <f ca="1">IFERROR(__xludf.DUMMYFUNCTION("""COMPUTED_VALUE"""),"A0636")</f>
        <v>A0636</v>
      </c>
      <c r="B96" s="3" t="str">
        <f ca="1">IFERROR(__xludf.DUMMYFUNCTION("""COMPUTED_VALUE"""),"活水影響力投資")</f>
        <v>活水影響力投資</v>
      </c>
      <c r="C96" s="3"/>
      <c r="D96" s="3"/>
      <c r="E96" s="3"/>
    </row>
    <row r="97" spans="1:5" x14ac:dyDescent="0.25">
      <c r="A97" s="2" t="str">
        <f ca="1">IFERROR(__xludf.DUMMYFUNCTION("""COMPUTED_VALUE"""),"A0637")</f>
        <v>A0637</v>
      </c>
      <c r="B97" s="3" t="str">
        <f ca="1">IFERROR(__xludf.DUMMYFUNCTION("""COMPUTED_VALUE"""),"Mosaic Venture Lab 宇斻管理顧問股份有限公司")</f>
        <v>Mosaic Venture Lab 宇斻管理顧問股份有限公司</v>
      </c>
      <c r="C97" s="3"/>
      <c r="D97" s="3"/>
      <c r="E97" s="3"/>
    </row>
    <row r="98" spans="1:5" x14ac:dyDescent="0.25">
      <c r="A98" s="2" t="str">
        <f ca="1">IFERROR(__xludf.DUMMYFUNCTION("""COMPUTED_VALUE"""),"A0650")</f>
        <v>A0650</v>
      </c>
      <c r="B98" s="3" t="str">
        <f ca="1">IFERROR(__xludf.DUMMYFUNCTION("""COMPUTED_VALUE"""),"好食好事加速器")</f>
        <v>好食好事加速器</v>
      </c>
      <c r="C98" s="3"/>
      <c r="D98" s="3"/>
      <c r="E98" s="3"/>
    </row>
    <row r="99" spans="1:5" x14ac:dyDescent="0.25">
      <c r="A99" s="2" t="str">
        <f ca="1">IFERROR(__xludf.DUMMYFUNCTION("""COMPUTED_VALUE"""),"A0651")</f>
        <v>A0651</v>
      </c>
      <c r="B99" s="3" t="str">
        <f ca="1">IFERROR(__xludf.DUMMYFUNCTION("""COMPUTED_VALUE"""),"扶田資本股份有限公司")</f>
        <v>扶田資本股份有限公司</v>
      </c>
      <c r="C99" s="3"/>
      <c r="D99" s="3"/>
      <c r="E99" s="3"/>
    </row>
    <row r="100" spans="1:5" x14ac:dyDescent="0.25">
      <c r="A100" s="2" t="str">
        <f ca="1">IFERROR(__xludf.DUMMYFUNCTION("""COMPUTED_VALUE"""),"A0653")</f>
        <v>A0653</v>
      </c>
      <c r="B100" s="3" t="str">
        <f ca="1">IFERROR(__xludf.DUMMYFUNCTION("""COMPUTED_VALUE"""),"資誠聯合會計師事務所")</f>
        <v>資誠聯合會計師事務所</v>
      </c>
      <c r="C100" s="3"/>
      <c r="D100" s="3"/>
      <c r="E100" s="3"/>
    </row>
    <row r="101" spans="1:5" x14ac:dyDescent="0.25">
      <c r="A101" s="2" t="str">
        <f ca="1">IFERROR(__xludf.DUMMYFUNCTION("""COMPUTED_VALUE"""),"A0661")</f>
        <v>A0661</v>
      </c>
      <c r="B101" s="3" t="str">
        <f ca="1">IFERROR(__xludf.DUMMYFUNCTION("""COMPUTED_VALUE"""),"購威經濟股份有限公司(智慧高軟)")</f>
        <v>購威經濟股份有限公司(智慧高軟)</v>
      </c>
      <c r="C101" s="3"/>
      <c r="D101" s="3"/>
      <c r="E101" s="3"/>
    </row>
    <row r="102" spans="1:5" x14ac:dyDescent="0.25">
      <c r="A102" s="2" t="str">
        <f ca="1">IFERROR(__xludf.DUMMYFUNCTION("""COMPUTED_VALUE"""),"A0667")</f>
        <v>A0667</v>
      </c>
      <c r="B102" s="3" t="str">
        <f ca="1">IFERROR(__xludf.DUMMYFUNCTION("""COMPUTED_VALUE"""),"好食好事加速器")</f>
        <v>好食好事加速器</v>
      </c>
      <c r="C102" s="3"/>
      <c r="D102" s="3"/>
      <c r="E102" s="3"/>
    </row>
    <row r="103" spans="1:5" x14ac:dyDescent="0.25">
      <c r="A103" s="2" t="str">
        <f ca="1">IFERROR(__xludf.DUMMYFUNCTION("""COMPUTED_VALUE"""),"A0674")</f>
        <v>A0674</v>
      </c>
      <c r="B103" s="3" t="str">
        <f ca="1">IFERROR(__xludf.DUMMYFUNCTION("""COMPUTED_VALUE"""),"比翼生醫")</f>
        <v>比翼生醫</v>
      </c>
      <c r="C103" s="3"/>
      <c r="D103" s="3"/>
      <c r="E103" s="3"/>
    </row>
    <row r="104" spans="1:5" x14ac:dyDescent="0.25">
      <c r="A104" s="2" t="str">
        <f ca="1">IFERROR(__xludf.DUMMYFUNCTION("""COMPUTED_VALUE"""),"A0677")</f>
        <v>A0677</v>
      </c>
      <c r="B104" s="3" t="str">
        <f ca="1">IFERROR(__xludf.DUMMYFUNCTION("""COMPUTED_VALUE"""),"資育股份有限公司")</f>
        <v>資育股份有限公司</v>
      </c>
      <c r="C104" s="3"/>
      <c r="D104" s="3"/>
      <c r="E104" s="3"/>
    </row>
    <row r="105" spans="1:5" x14ac:dyDescent="0.25">
      <c r="A105" s="2" t="str">
        <f ca="1">IFERROR(__xludf.DUMMYFUNCTION("""COMPUTED_VALUE"""),"A0686")</f>
        <v>A0686</v>
      </c>
      <c r="B105" s="3" t="str">
        <f ca="1">IFERROR(__xludf.DUMMYFUNCTION("""COMPUTED_VALUE"""),"SparkLabs Taiwan 斯伯克國際創業投資有限公司")</f>
        <v>SparkLabs Taiwan 斯伯克國際創業投資有限公司</v>
      </c>
      <c r="C105" s="3"/>
      <c r="D105" s="3"/>
      <c r="E105" s="3"/>
    </row>
    <row r="106" spans="1:5" x14ac:dyDescent="0.25">
      <c r="A106" s="2" t="str">
        <f ca="1">IFERROR(__xludf.DUMMYFUNCTION("""COMPUTED_VALUE"""),"A0687")</f>
        <v>A0687</v>
      </c>
      <c r="B106" s="3" t="str">
        <f ca="1">IFERROR(__xludf.DUMMYFUNCTION("""COMPUTED_VALUE"""),"尚未報名/媒合中")</f>
        <v>尚未報名/媒合中</v>
      </c>
      <c r="C106" s="3"/>
      <c r="D106" s="3"/>
      <c r="E106" s="3"/>
    </row>
    <row r="107" spans="1:5" x14ac:dyDescent="0.25">
      <c r="A107" s="2" t="str">
        <f ca="1">IFERROR(__xludf.DUMMYFUNCTION("""COMPUTED_VALUE"""),"A0693")</f>
        <v>A0693</v>
      </c>
      <c r="B107" s="3" t="str">
        <f ca="1">IFERROR(__xludf.DUMMYFUNCTION("""COMPUTED_VALUE"""),"遠邦國際品牌CrossBond")</f>
        <v>遠邦國際品牌CrossBond</v>
      </c>
      <c r="C107" s="3"/>
      <c r="D107" s="3"/>
      <c r="E107" s="3"/>
    </row>
    <row r="108" spans="1:5" x14ac:dyDescent="0.25">
      <c r="A108" s="2" t="str">
        <f ca="1">IFERROR(__xludf.DUMMYFUNCTION("""COMPUTED_VALUE"""),"A0694")</f>
        <v>A0694</v>
      </c>
      <c r="B108" s="3" t="str">
        <f ca="1">IFERROR(__xludf.DUMMYFUNCTION("""COMPUTED_VALUE"""),"尚未報名/媒合中")</f>
        <v>尚未報名/媒合中</v>
      </c>
      <c r="C108" s="3"/>
      <c r="D108" s="3"/>
      <c r="E108" s="3"/>
    </row>
    <row r="109" spans="1:5" x14ac:dyDescent="0.25">
      <c r="A109" s="2" t="str">
        <f ca="1">IFERROR(__xludf.DUMMYFUNCTION("""COMPUTED_VALUE"""),"A0695")</f>
        <v>A0695</v>
      </c>
      <c r="B109" s="3" t="str">
        <f ca="1">IFERROR(__xludf.DUMMYFUNCTION("""COMPUTED_VALUE"""),"資誠聯合會計師事務所")</f>
        <v>資誠聯合會計師事務所</v>
      </c>
      <c r="C109" s="3"/>
      <c r="D109" s="3"/>
      <c r="E109" s="3"/>
    </row>
    <row r="110" spans="1:5" x14ac:dyDescent="0.25">
      <c r="A110" s="2" t="str">
        <f ca="1">IFERROR(__xludf.DUMMYFUNCTION("""COMPUTED_VALUE"""),"A0702")</f>
        <v>A0702</v>
      </c>
      <c r="B110" s="3" t="str">
        <f ca="1">IFERROR(__xludf.DUMMYFUNCTION("""COMPUTED_VALUE"""),"Garage+")</f>
        <v>Garage+</v>
      </c>
      <c r="C110" s="3"/>
      <c r="D110" s="3"/>
      <c r="E110" s="3"/>
    </row>
    <row r="111" spans="1:5" x14ac:dyDescent="0.25">
      <c r="A111" s="2" t="str">
        <f ca="1">IFERROR(__xludf.DUMMYFUNCTION("""COMPUTED_VALUE"""),"A0708")</f>
        <v>A0708</v>
      </c>
      <c r="B111" s="3" t="str">
        <f ca="1">IFERROR(__xludf.DUMMYFUNCTION("""COMPUTED_VALUE"""),"SparkLabs Taiwan 斯伯克國際創業投資有限公司")</f>
        <v>SparkLabs Taiwan 斯伯克國際創業投資有限公司</v>
      </c>
      <c r="C111" s="3"/>
      <c r="D111" s="3"/>
      <c r="E111" s="3"/>
    </row>
    <row r="112" spans="1:5" x14ac:dyDescent="0.25">
      <c r="A112" s="2" t="str">
        <f ca="1">IFERROR(__xludf.DUMMYFUNCTION("""COMPUTED_VALUE"""),"A0716")</f>
        <v>A0716</v>
      </c>
      <c r="B112" s="3" t="str">
        <f ca="1">IFERROR(__xludf.DUMMYFUNCTION("""COMPUTED_VALUE"""),"SparkLabs Taiwan 斯伯克國際創業投資有限公司")</f>
        <v>SparkLabs Taiwan 斯伯克國際創業投資有限公司</v>
      </c>
      <c r="C112" s="3"/>
      <c r="D112" s="3"/>
      <c r="E112" s="3"/>
    </row>
    <row r="113" spans="1:5" x14ac:dyDescent="0.25">
      <c r="A113" s="2" t="str">
        <f ca="1">IFERROR(__xludf.DUMMYFUNCTION("""COMPUTED_VALUE"""),"A0722")</f>
        <v>A0722</v>
      </c>
      <c r="B113" s="3" t="str">
        <f ca="1">IFERROR(__xludf.DUMMYFUNCTION("""COMPUTED_VALUE"""),"SparkLabs Taiwan 斯伯克國際創業投資有限公司")</f>
        <v>SparkLabs Taiwan 斯伯克國際創業投資有限公司</v>
      </c>
      <c r="C113" s="3"/>
      <c r="D113" s="3"/>
      <c r="E113" s="3"/>
    </row>
    <row r="114" spans="1:5" x14ac:dyDescent="0.25">
      <c r="A114" s="2" t="str">
        <f ca="1">IFERROR(__xludf.DUMMYFUNCTION("""COMPUTED_VALUE"""),"A0727")</f>
        <v>A0727</v>
      </c>
      <c r="B114" s="3" t="str">
        <f ca="1">IFERROR(__xludf.DUMMYFUNCTION("""COMPUTED_VALUE"""),"資誠聯合會計師事務所")</f>
        <v>資誠聯合會計師事務所</v>
      </c>
      <c r="C114" s="3"/>
      <c r="D114" s="3"/>
      <c r="E114" s="3"/>
    </row>
    <row r="115" spans="1:5" x14ac:dyDescent="0.25">
      <c r="A115" s="2" t="str">
        <f ca="1">IFERROR(__xludf.DUMMYFUNCTION("""COMPUTED_VALUE"""),"A0745")</f>
        <v>A0745</v>
      </c>
      <c r="B115" s="3" t="str">
        <f ca="1">IFERROR(__xludf.DUMMYFUNCTION("""COMPUTED_VALUE"""),"比翼生醫")</f>
        <v>比翼生醫</v>
      </c>
      <c r="C115" s="3"/>
      <c r="D115" s="3"/>
      <c r="E115" s="3"/>
    </row>
    <row r="116" spans="1:5" x14ac:dyDescent="0.25">
      <c r="A116" s="2" t="str">
        <f ca="1">IFERROR(__xludf.DUMMYFUNCTION("""COMPUTED_VALUE"""),"A0749")</f>
        <v>A0749</v>
      </c>
      <c r="B116" s="3" t="str">
        <f ca="1">IFERROR(__xludf.DUMMYFUNCTION("""COMPUTED_VALUE"""),"活水影響力投資")</f>
        <v>活水影響力投資</v>
      </c>
      <c r="C116" s="3"/>
      <c r="D116" s="3"/>
      <c r="E116" s="3"/>
    </row>
    <row r="117" spans="1:5" x14ac:dyDescent="0.25">
      <c r="A117" s="2" t="str">
        <f ca="1">IFERROR(__xludf.DUMMYFUNCTION("""COMPUTED_VALUE"""),"A0755")</f>
        <v>A0755</v>
      </c>
      <c r="B117" s="3" t="str">
        <f ca="1">IFERROR(__xludf.DUMMYFUNCTION("""COMPUTED_VALUE"""),"SparkLabs Taiwan 斯伯克國際創業投資有限公司")</f>
        <v>SparkLabs Taiwan 斯伯克國際創業投資有限公司</v>
      </c>
      <c r="C117" s="3"/>
      <c r="D117" s="3"/>
      <c r="E117" s="3"/>
    </row>
    <row r="118" spans="1:5" x14ac:dyDescent="0.25">
      <c r="A118" s="2" t="str">
        <f ca="1">IFERROR(__xludf.DUMMYFUNCTION("""COMPUTED_VALUE"""),"A0756")</f>
        <v>A0756</v>
      </c>
      <c r="B118" s="3" t="str">
        <f ca="1">IFERROR(__xludf.DUMMYFUNCTION("""COMPUTED_VALUE"""),"扶田資本股份有限公司")</f>
        <v>扶田資本股份有限公司</v>
      </c>
      <c r="C118" s="3"/>
      <c r="D118" s="3"/>
      <c r="E118" s="3"/>
    </row>
    <row r="119" spans="1:5" x14ac:dyDescent="0.25">
      <c r="A119" s="2" t="str">
        <f ca="1">IFERROR(__xludf.DUMMYFUNCTION("""COMPUTED_VALUE"""),"A0770")</f>
        <v>A0770</v>
      </c>
      <c r="B119" s="3" t="str">
        <f ca="1">IFERROR(__xludf.DUMMYFUNCTION("""COMPUTED_VALUE"""),"資育股份有限公司")</f>
        <v>資育股份有限公司</v>
      </c>
      <c r="C119" s="3"/>
      <c r="D119" s="3"/>
      <c r="E119" s="3"/>
    </row>
    <row r="120" spans="1:5" x14ac:dyDescent="0.25">
      <c r="A120" s="2" t="str">
        <f ca="1">IFERROR(__xludf.DUMMYFUNCTION("""COMPUTED_VALUE"""),"A0773")</f>
        <v>A0773</v>
      </c>
      <c r="B120" s="3" t="str">
        <f ca="1">IFERROR(__xludf.DUMMYFUNCTION("""COMPUTED_VALUE"""),"扶田資本股份有限公司")</f>
        <v>扶田資本股份有限公司</v>
      </c>
      <c r="C120" s="3"/>
      <c r="D120" s="3"/>
      <c r="E120" s="3"/>
    </row>
    <row r="121" spans="1:5" x14ac:dyDescent="0.25">
      <c r="A121" s="2" t="str">
        <f ca="1">IFERROR(__xludf.DUMMYFUNCTION("""COMPUTED_VALUE"""),"A0775")</f>
        <v>A0775</v>
      </c>
      <c r="B121" s="3" t="str">
        <f ca="1">IFERROR(__xludf.DUMMYFUNCTION("""COMPUTED_VALUE"""),"扶田資本股份有限公司")</f>
        <v>扶田資本股份有限公司</v>
      </c>
      <c r="C121" s="3"/>
      <c r="D121" s="3"/>
      <c r="E121" s="3"/>
    </row>
    <row r="122" spans="1:5" x14ac:dyDescent="0.25">
      <c r="A122" s="2" t="str">
        <f ca="1">IFERROR(__xludf.DUMMYFUNCTION("""COMPUTED_VALUE"""),"A0777")</f>
        <v>A0777</v>
      </c>
      <c r="B122" s="3" t="str">
        <f ca="1">IFERROR(__xludf.DUMMYFUNCTION("""COMPUTED_VALUE"""),"聯合創新加速器")</f>
        <v>聯合創新加速器</v>
      </c>
      <c r="C122" s="3"/>
      <c r="D122" s="3"/>
      <c r="E122" s="3"/>
    </row>
    <row r="123" spans="1:5" x14ac:dyDescent="0.25">
      <c r="A123" s="2" t="str">
        <f ca="1">IFERROR(__xludf.DUMMYFUNCTION("""COMPUTED_VALUE"""),"A0787")</f>
        <v>A0787</v>
      </c>
      <c r="B123" s="3" t="str">
        <f ca="1">IFERROR(__xludf.DUMMYFUNCTION("""COMPUTED_VALUE"""),"購威經濟股份有限公司(智慧高軟)")</f>
        <v>購威經濟股份有限公司(智慧高軟)</v>
      </c>
      <c r="C123" s="3"/>
      <c r="D123" s="3"/>
      <c r="E123" s="3"/>
    </row>
    <row r="124" spans="1:5" x14ac:dyDescent="0.25">
      <c r="A124" s="2" t="str">
        <f ca="1">IFERROR(__xludf.DUMMYFUNCTION("""COMPUTED_VALUE"""),"A0799")</f>
        <v>A0799</v>
      </c>
      <c r="B124" s="3" t="str">
        <f ca="1">IFERROR(__xludf.DUMMYFUNCTION("""COMPUTED_VALUE"""),"比翼生醫")</f>
        <v>比翼生醫</v>
      </c>
      <c r="C124" s="3"/>
      <c r="D124" s="3"/>
      <c r="E124" s="3"/>
    </row>
    <row r="125" spans="1:5" x14ac:dyDescent="0.25">
      <c r="A125" s="2" t="str">
        <f ca="1">IFERROR(__xludf.DUMMYFUNCTION("""COMPUTED_VALUE"""),"A0800")</f>
        <v>A0800</v>
      </c>
      <c r="B125" s="3" t="str">
        <f ca="1">IFERROR(__xludf.DUMMYFUNCTION("""COMPUTED_VALUE"""),"資育股份有限公司")</f>
        <v>資育股份有限公司</v>
      </c>
      <c r="C125" s="3"/>
      <c r="D125" s="3"/>
      <c r="E125" s="3"/>
    </row>
    <row r="126" spans="1:5" x14ac:dyDescent="0.25">
      <c r="A126" s="2" t="str">
        <f ca="1">IFERROR(__xludf.DUMMYFUNCTION("""COMPUTED_VALUE"""),"A0801")</f>
        <v>A0801</v>
      </c>
      <c r="B126" s="3" t="str">
        <f ca="1">IFERROR(__xludf.DUMMYFUNCTION("""COMPUTED_VALUE"""),"Muse Builder")</f>
        <v>Muse Builder</v>
      </c>
      <c r="C126" s="3"/>
      <c r="D126" s="3"/>
      <c r="E126" s="3"/>
    </row>
    <row r="127" spans="1:5" x14ac:dyDescent="0.25">
      <c r="A127" s="2" t="str">
        <f ca="1">IFERROR(__xludf.DUMMYFUNCTION("""COMPUTED_VALUE"""),"A0808")</f>
        <v>A0808</v>
      </c>
      <c r="B127" s="3" t="str">
        <f ca="1">IFERROR(__xludf.DUMMYFUNCTION("""COMPUTED_VALUE"""),"SparkLabs Taiwan 斯伯克國際創業投資有限公司")</f>
        <v>SparkLabs Taiwan 斯伯克國際創業投資有限公司</v>
      </c>
      <c r="C127" s="3"/>
      <c r="D127" s="3"/>
      <c r="E127" s="3"/>
    </row>
    <row r="128" spans="1:5" x14ac:dyDescent="0.25">
      <c r="A128" s="2" t="str">
        <f ca="1">IFERROR(__xludf.DUMMYFUNCTION("""COMPUTED_VALUE"""),"A0814")</f>
        <v>A0814</v>
      </c>
      <c r="B128" s="3" t="str">
        <f ca="1">IFERROR(__xludf.DUMMYFUNCTION("""COMPUTED_VALUE"""),"SparkLabs Taiwan 斯伯克國際創業投資有限公司")</f>
        <v>SparkLabs Taiwan 斯伯克國際創業投資有限公司</v>
      </c>
      <c r="C128" s="3"/>
      <c r="D128" s="3"/>
      <c r="E128" s="3"/>
    </row>
    <row r="129" spans="1:5" x14ac:dyDescent="0.25">
      <c r="A129" s="2" t="str">
        <f ca="1">IFERROR(__xludf.DUMMYFUNCTION("""COMPUTED_VALUE"""),"A0815")</f>
        <v>A0815</v>
      </c>
      <c r="B129" s="3" t="str">
        <f ca="1">IFERROR(__xludf.DUMMYFUNCTION("""COMPUTED_VALUE"""),"好食好事加速器")</f>
        <v>好食好事加速器</v>
      </c>
      <c r="C129" s="3"/>
      <c r="D129" s="3"/>
      <c r="E129" s="3"/>
    </row>
    <row r="130" spans="1:5" x14ac:dyDescent="0.25">
      <c r="A130" s="2" t="str">
        <f ca="1">IFERROR(__xludf.DUMMYFUNCTION("""COMPUTED_VALUE"""),"A0833")</f>
        <v>A0833</v>
      </c>
      <c r="B130" s="3" t="str">
        <f ca="1">IFERROR(__xludf.DUMMYFUNCTION("""COMPUTED_VALUE"""),"SparkLabs Taiwan 斯伯克國際創業投資有限公司")</f>
        <v>SparkLabs Taiwan 斯伯克國際創業投資有限公司</v>
      </c>
      <c r="C130" s="3"/>
      <c r="D130" s="3"/>
      <c r="E130" s="3"/>
    </row>
    <row r="131" spans="1:5" x14ac:dyDescent="0.25">
      <c r="A131" s="2" t="str">
        <f ca="1">IFERROR(__xludf.DUMMYFUNCTION("""COMPUTED_VALUE"""),"A0838")</f>
        <v>A0838</v>
      </c>
      <c r="B131" s="3" t="str">
        <f ca="1">IFERROR(__xludf.DUMMYFUNCTION("""COMPUTED_VALUE"""),"資誠聯合會計師事務所")</f>
        <v>資誠聯合會計師事務所</v>
      </c>
      <c r="C131" s="3"/>
      <c r="D131" s="3"/>
      <c r="E131" s="3"/>
    </row>
    <row r="132" spans="1:5" x14ac:dyDescent="0.25">
      <c r="A132" s="2" t="str">
        <f ca="1">IFERROR(__xludf.DUMMYFUNCTION("""COMPUTED_VALUE"""),"A0849")</f>
        <v>A0849</v>
      </c>
      <c r="B132" s="3" t="str">
        <f ca="1">IFERROR(__xludf.DUMMYFUNCTION("""COMPUTED_VALUE"""),"遠邦國際品牌CrossBond")</f>
        <v>遠邦國際品牌CrossBond</v>
      </c>
      <c r="C132" s="3"/>
      <c r="D132" s="3"/>
      <c r="E132" s="3"/>
    </row>
    <row r="133" spans="1:5" x14ac:dyDescent="0.25">
      <c r="A133" s="2" t="str">
        <f ca="1">IFERROR(__xludf.DUMMYFUNCTION("""COMPUTED_VALUE"""),"A0855")</f>
        <v>A0855</v>
      </c>
      <c r="B133" s="3" t="str">
        <f ca="1">IFERROR(__xludf.DUMMYFUNCTION("""COMPUTED_VALUE"""),"StarFab (豪覓管理顧問股份有限公司)")</f>
        <v>StarFab (豪覓管理顧問股份有限公司)</v>
      </c>
      <c r="C133" s="3"/>
      <c r="D133" s="3"/>
      <c r="E133" s="3"/>
    </row>
    <row r="134" spans="1:5" x14ac:dyDescent="0.25">
      <c r="A134" s="2" t="str">
        <f ca="1">IFERROR(__xludf.DUMMYFUNCTION("""COMPUTED_VALUE"""),"A0856")</f>
        <v>A0856</v>
      </c>
      <c r="B134" s="3" t="str">
        <f ca="1">IFERROR(__xludf.DUMMYFUNCTION("""COMPUTED_VALUE"""),"好食好事加速器")</f>
        <v>好食好事加速器</v>
      </c>
      <c r="C134" s="3"/>
      <c r="D134" s="3"/>
      <c r="E134" s="3"/>
    </row>
    <row r="135" spans="1:5" x14ac:dyDescent="0.25">
      <c r="A135" s="2" t="str">
        <f ca="1">IFERROR(__xludf.DUMMYFUNCTION("""COMPUTED_VALUE"""),"A0858")</f>
        <v>A0858</v>
      </c>
      <c r="B135" s="3" t="str">
        <f ca="1">IFERROR(__xludf.DUMMYFUNCTION("""COMPUTED_VALUE"""),"Garage+")</f>
        <v>Garage+</v>
      </c>
      <c r="C135" s="3"/>
      <c r="D135" s="3"/>
      <c r="E135" s="3"/>
    </row>
    <row r="136" spans="1:5" x14ac:dyDescent="0.25">
      <c r="A136" s="2" t="str">
        <f ca="1">IFERROR(__xludf.DUMMYFUNCTION("""COMPUTED_VALUE"""),"A0864")</f>
        <v>A0864</v>
      </c>
      <c r="B136" s="3" t="str">
        <f ca="1">IFERROR(__xludf.DUMMYFUNCTION("""COMPUTED_VALUE"""),"資育股份有限公司")</f>
        <v>資育股份有限公司</v>
      </c>
      <c r="C136" s="3"/>
      <c r="D136" s="3"/>
      <c r="E136" s="3"/>
    </row>
    <row r="137" spans="1:5" x14ac:dyDescent="0.25">
      <c r="A137" s="2" t="str">
        <f ca="1">IFERROR(__xludf.DUMMYFUNCTION("""COMPUTED_VALUE"""),"A0866")</f>
        <v>A0866</v>
      </c>
      <c r="B137" s="3" t="str">
        <f ca="1">IFERROR(__xludf.DUMMYFUNCTION("""COMPUTED_VALUE"""),"SparkLabs Taiwan 斯伯克國際創業投資有限公司")</f>
        <v>SparkLabs Taiwan 斯伯克國際創業投資有限公司</v>
      </c>
      <c r="C137" s="3"/>
      <c r="D137" s="3"/>
      <c r="E137" s="3"/>
    </row>
    <row r="138" spans="1:5" x14ac:dyDescent="0.25">
      <c r="A138" s="2" t="str">
        <f ca="1">IFERROR(__xludf.DUMMYFUNCTION("""COMPUTED_VALUE"""),"A0872")</f>
        <v>A0872</v>
      </c>
      <c r="B138" s="3" t="str">
        <f ca="1">IFERROR(__xludf.DUMMYFUNCTION("""COMPUTED_VALUE"""),"扶田資本股份有限公司")</f>
        <v>扶田資本股份有限公司</v>
      </c>
      <c r="C138" s="3"/>
      <c r="D138" s="3"/>
      <c r="E138" s="3"/>
    </row>
    <row r="139" spans="1:5" x14ac:dyDescent="0.25">
      <c r="A139" s="2" t="str">
        <f ca="1">IFERROR(__xludf.DUMMYFUNCTION("""COMPUTED_VALUE"""),"A0880")</f>
        <v>A0880</v>
      </c>
      <c r="B139" s="3" t="str">
        <f ca="1">IFERROR(__xludf.DUMMYFUNCTION("""COMPUTED_VALUE"""),"聯合創新加速器")</f>
        <v>聯合創新加速器</v>
      </c>
      <c r="C139" s="3"/>
      <c r="D139" s="3"/>
      <c r="E139" s="3"/>
    </row>
    <row r="140" spans="1:5" x14ac:dyDescent="0.25">
      <c r="A140" s="2" t="str">
        <f ca="1">IFERROR(__xludf.DUMMYFUNCTION("""COMPUTED_VALUE"""),"A0886")</f>
        <v>A0886</v>
      </c>
      <c r="B140" s="3" t="str">
        <f ca="1">IFERROR(__xludf.DUMMYFUNCTION("""COMPUTED_VALUE"""),"安永聯合會計師事務所")</f>
        <v>安永聯合會計師事務所</v>
      </c>
      <c r="C140" s="3"/>
      <c r="D140" s="3"/>
      <c r="E140" s="3"/>
    </row>
    <row r="141" spans="1:5" x14ac:dyDescent="0.25">
      <c r="A141" s="2" t="str">
        <f ca="1">IFERROR(__xludf.DUMMYFUNCTION("""COMPUTED_VALUE"""),"A0892")</f>
        <v>A0892</v>
      </c>
      <c r="B141" s="3" t="str">
        <f ca="1">IFERROR(__xludf.DUMMYFUNCTION("""COMPUTED_VALUE"""),"台灣智慧雲端服務股份有限公司（台智雲）")</f>
        <v>台灣智慧雲端服務股份有限公司（台智雲）</v>
      </c>
      <c r="C141" s="3"/>
      <c r="D141" s="3"/>
      <c r="E141" s="3"/>
    </row>
    <row r="142" spans="1:5" x14ac:dyDescent="0.25">
      <c r="A142" s="2" t="str">
        <f ca="1">IFERROR(__xludf.DUMMYFUNCTION("""COMPUTED_VALUE"""),"A0896")</f>
        <v>A0896</v>
      </c>
      <c r="B142" s="3" t="str">
        <f ca="1">IFERROR(__xludf.DUMMYFUNCTION("""COMPUTED_VALUE"""),"Muse Builder")</f>
        <v>Muse Builder</v>
      </c>
      <c r="C142" s="3"/>
      <c r="D142" s="3"/>
      <c r="E142" s="3"/>
    </row>
    <row r="143" spans="1:5" x14ac:dyDescent="0.25">
      <c r="A143" s="2" t="str">
        <f ca="1">IFERROR(__xludf.DUMMYFUNCTION("""COMPUTED_VALUE"""),"A0905")</f>
        <v>A0905</v>
      </c>
      <c r="B143" s="3" t="str">
        <f ca="1">IFERROR(__xludf.DUMMYFUNCTION("""COMPUTED_VALUE"""),"資誠聯合會計師事務所")</f>
        <v>資誠聯合會計師事務所</v>
      </c>
      <c r="C143" s="3"/>
      <c r="D143" s="3"/>
      <c r="E143" s="3"/>
    </row>
    <row r="144" spans="1:5" x14ac:dyDescent="0.25">
      <c r="A144" s="2" t="str">
        <f ca="1">IFERROR(__xludf.DUMMYFUNCTION("""COMPUTED_VALUE"""),"A0907")</f>
        <v>A0907</v>
      </c>
      <c r="B144" s="3" t="str">
        <f ca="1">IFERROR(__xludf.DUMMYFUNCTION("""COMPUTED_VALUE"""),"SparkLabs Taiwan 斯伯克國際創業投資有限公司")</f>
        <v>SparkLabs Taiwan 斯伯克國際創業投資有限公司</v>
      </c>
      <c r="C144" s="3"/>
      <c r="D144" s="3"/>
      <c r="E144" s="3"/>
    </row>
    <row r="145" spans="1:5" x14ac:dyDescent="0.25">
      <c r="A145" s="2" t="str">
        <f ca="1">IFERROR(__xludf.DUMMYFUNCTION("""COMPUTED_VALUE"""),"A0921")</f>
        <v>A0921</v>
      </c>
      <c r="B145" s="3" t="str">
        <f ca="1">IFERROR(__xludf.DUMMYFUNCTION("""COMPUTED_VALUE"""),"好食好事加速器")</f>
        <v>好食好事加速器</v>
      </c>
      <c r="C145" s="3"/>
      <c r="D145" s="3"/>
      <c r="E145" s="3"/>
    </row>
    <row r="146" spans="1:5" x14ac:dyDescent="0.25">
      <c r="A146" s="2" t="str">
        <f ca="1">IFERROR(__xludf.DUMMYFUNCTION("""COMPUTED_VALUE"""),"A0927")</f>
        <v>A0927</v>
      </c>
      <c r="B146" s="3" t="str">
        <f ca="1">IFERROR(__xludf.DUMMYFUNCTION("""COMPUTED_VALUE"""),"尚未報名/媒合中")</f>
        <v>尚未報名/媒合中</v>
      </c>
      <c r="C146" s="3"/>
      <c r="D146" s="3"/>
      <c r="E146" s="3"/>
    </row>
    <row r="147" spans="1:5" x14ac:dyDescent="0.25">
      <c r="A147" s="2" t="str">
        <f ca="1">IFERROR(__xludf.DUMMYFUNCTION("""COMPUTED_VALUE"""),"A0943")</f>
        <v>A0943</v>
      </c>
      <c r="B147" s="3" t="str">
        <f ca="1">IFERROR(__xludf.DUMMYFUNCTION("""COMPUTED_VALUE"""),"好食好事加速器")</f>
        <v>好食好事加速器</v>
      </c>
      <c r="C147" s="3"/>
      <c r="D147" s="3"/>
      <c r="E147" s="3"/>
    </row>
    <row r="148" spans="1:5" x14ac:dyDescent="0.25">
      <c r="A148" s="2" t="str">
        <f ca="1">IFERROR(__xludf.DUMMYFUNCTION("""COMPUTED_VALUE"""),"A0964")</f>
        <v>A0964</v>
      </c>
      <c r="B148" s="3" t="str">
        <f ca="1">IFERROR(__xludf.DUMMYFUNCTION("""COMPUTED_VALUE"""),"SparkLabs Taiwan 斯伯克國際創業投資有限公司")</f>
        <v>SparkLabs Taiwan 斯伯克國際創業投資有限公司</v>
      </c>
      <c r="C148" s="3"/>
      <c r="D148" s="3"/>
      <c r="E148" s="3"/>
    </row>
    <row r="149" spans="1:5" x14ac:dyDescent="0.25">
      <c r="A149" s="2" t="str">
        <f ca="1">IFERROR(__xludf.DUMMYFUNCTION("""COMPUTED_VALUE"""),"A0972")</f>
        <v>A0972</v>
      </c>
      <c r="B149" s="3" t="str">
        <f ca="1">IFERROR(__xludf.DUMMYFUNCTION("""COMPUTED_VALUE"""),"生物技術開發中心(南港生技育成中心)")</f>
        <v>生物技術開發中心(南港生技育成中心)</v>
      </c>
      <c r="C149" s="3"/>
      <c r="D149" s="3"/>
      <c r="E149" s="3"/>
    </row>
    <row r="150" spans="1:5" x14ac:dyDescent="0.25">
      <c r="A150" s="2" t="str">
        <f ca="1">IFERROR(__xludf.DUMMYFUNCTION("""COMPUTED_VALUE"""),"A0973")</f>
        <v>A0973</v>
      </c>
      <c r="B150" s="3" t="str">
        <f ca="1">IFERROR(__xludf.DUMMYFUNCTION("""COMPUTED_VALUE"""),"尚未報名/媒合中")</f>
        <v>尚未報名/媒合中</v>
      </c>
      <c r="C150" s="3"/>
      <c r="D150" s="3"/>
      <c r="E150" s="3"/>
    </row>
    <row r="151" spans="1:5" x14ac:dyDescent="0.25">
      <c r="A151" s="2" t="str">
        <f ca="1">IFERROR(__xludf.DUMMYFUNCTION("""COMPUTED_VALUE"""),"A0997")</f>
        <v>A0997</v>
      </c>
      <c r="B151" s="3" t="str">
        <f ca="1">IFERROR(__xludf.DUMMYFUNCTION("""COMPUTED_VALUE"""),"StarFab (豪覓管理顧問股份有限公司)")</f>
        <v>StarFab (豪覓管理顧問股份有限公司)</v>
      </c>
      <c r="C151" s="3"/>
      <c r="D151" s="3"/>
      <c r="E151" s="3"/>
    </row>
    <row r="152" spans="1:5" x14ac:dyDescent="0.25">
      <c r="A152" s="2" t="str">
        <f ca="1">IFERROR(__xludf.DUMMYFUNCTION("""COMPUTED_VALUE"""),"A1012")</f>
        <v>A1012</v>
      </c>
      <c r="B152" s="3" t="str">
        <f ca="1">IFERROR(__xludf.DUMMYFUNCTION("""COMPUTED_VALUE"""),"尚未報名/媒合中")</f>
        <v>尚未報名/媒合中</v>
      </c>
      <c r="C152" s="3"/>
      <c r="D152" s="3"/>
      <c r="E152" s="3"/>
    </row>
    <row r="153" spans="1:5" x14ac:dyDescent="0.25">
      <c r="A153" s="2" t="str">
        <f ca="1">IFERROR(__xludf.DUMMYFUNCTION("""COMPUTED_VALUE"""),"A1018")</f>
        <v>A1018</v>
      </c>
      <c r="B153" s="3" t="str">
        <f ca="1">IFERROR(__xludf.DUMMYFUNCTION("""COMPUTED_VALUE"""),"Mighty Net(邁特創新基地)")</f>
        <v>Mighty Net(邁特創新基地)</v>
      </c>
      <c r="C153" s="3"/>
      <c r="D153" s="3"/>
      <c r="E153" s="3"/>
    </row>
    <row r="154" spans="1:5" x14ac:dyDescent="0.25">
      <c r="A154" s="2" t="str">
        <f ca="1">IFERROR(__xludf.DUMMYFUNCTION("""COMPUTED_VALUE"""),"A1020")</f>
        <v>A1020</v>
      </c>
      <c r="B154" s="3" t="str">
        <f ca="1">IFERROR(__xludf.DUMMYFUNCTION("""COMPUTED_VALUE"""),"SparkLabs Taiwan 斯伯克國際創業投資有限公司")</f>
        <v>SparkLabs Taiwan 斯伯克國際創業投資有限公司</v>
      </c>
      <c r="C154" s="3"/>
      <c r="D154" s="3"/>
      <c r="E154" s="3"/>
    </row>
    <row r="155" spans="1:5" x14ac:dyDescent="0.25">
      <c r="A155" s="2" t="str">
        <f ca="1">IFERROR(__xludf.DUMMYFUNCTION("""COMPUTED_VALUE"""),"A1022")</f>
        <v>A1022</v>
      </c>
      <c r="B155" s="3" t="str">
        <f ca="1">IFERROR(__xludf.DUMMYFUNCTION("""COMPUTED_VALUE"""),"Muse Builder")</f>
        <v>Muse Builder</v>
      </c>
      <c r="C155" s="3"/>
      <c r="D155" s="3"/>
      <c r="E155" s="3"/>
    </row>
    <row r="156" spans="1:5" x14ac:dyDescent="0.25">
      <c r="A156" s="2" t="str">
        <f ca="1">IFERROR(__xludf.DUMMYFUNCTION("""COMPUTED_VALUE"""),"A1023")</f>
        <v>A1023</v>
      </c>
      <c r="B156" s="3" t="str">
        <f ca="1">IFERROR(__xludf.DUMMYFUNCTION("""COMPUTED_VALUE"""),"StarFab (豪覓管理顧問股份有限公司)")</f>
        <v>StarFab (豪覓管理顧問股份有限公司)</v>
      </c>
      <c r="C156" s="3"/>
      <c r="D156" s="3"/>
      <c r="E156" s="3"/>
    </row>
    <row r="157" spans="1:5" x14ac:dyDescent="0.25">
      <c r="A157" s="2" t="str">
        <f ca="1">IFERROR(__xludf.DUMMYFUNCTION("""COMPUTED_VALUE"""),"A1024")</f>
        <v>A1024</v>
      </c>
      <c r="B157" s="3" t="str">
        <f ca="1">IFERROR(__xludf.DUMMYFUNCTION("""COMPUTED_VALUE"""),"尚未報名/媒合中")</f>
        <v>尚未報名/媒合中</v>
      </c>
      <c r="C157" s="3"/>
      <c r="D157" s="3"/>
      <c r="E157" s="3"/>
    </row>
    <row r="158" spans="1:5" x14ac:dyDescent="0.25">
      <c r="A158" s="2" t="str">
        <f ca="1">IFERROR(__xludf.DUMMYFUNCTION("""COMPUTED_VALUE"""),"A1026")</f>
        <v>A1026</v>
      </c>
      <c r="B158" s="3" t="str">
        <f ca="1">IFERROR(__xludf.DUMMYFUNCTION("""COMPUTED_VALUE"""),"好食好事加速器")</f>
        <v>好食好事加速器</v>
      </c>
      <c r="C158" s="3"/>
      <c r="D158" s="3"/>
      <c r="E158" s="3"/>
    </row>
    <row r="159" spans="1:5" x14ac:dyDescent="0.25">
      <c r="A159" s="2" t="str">
        <f ca="1">IFERROR(__xludf.DUMMYFUNCTION("""COMPUTED_VALUE"""),"A1036")</f>
        <v>A1036</v>
      </c>
      <c r="B159" s="3" t="str">
        <f ca="1">IFERROR(__xludf.DUMMYFUNCTION("""COMPUTED_VALUE"""),"扶田資本股份有限公司")</f>
        <v>扶田資本股份有限公司</v>
      </c>
      <c r="C159" s="3"/>
      <c r="D159" s="3"/>
      <c r="E159" s="3"/>
    </row>
    <row r="160" spans="1:5" x14ac:dyDescent="0.25">
      <c r="A160" s="2" t="str">
        <f ca="1">IFERROR(__xludf.DUMMYFUNCTION("""COMPUTED_VALUE"""),"A1043")</f>
        <v>A1043</v>
      </c>
      <c r="B160" s="3" t="str">
        <f ca="1">IFERROR(__xludf.DUMMYFUNCTION("""COMPUTED_VALUE"""),"國立陽明交通大學產業加速器暨專利開發策略中心")</f>
        <v>國立陽明交通大學產業加速器暨專利開發策略中心</v>
      </c>
      <c r="C160" s="3"/>
      <c r="D160" s="3"/>
      <c r="E160" s="3"/>
    </row>
    <row r="161" spans="1:5" x14ac:dyDescent="0.25">
      <c r="A161" s="2" t="str">
        <f ca="1">IFERROR(__xludf.DUMMYFUNCTION("""COMPUTED_VALUE"""),"A1047")</f>
        <v>A1047</v>
      </c>
      <c r="B161" s="3" t="str">
        <f ca="1">IFERROR(__xludf.DUMMYFUNCTION("""COMPUTED_VALUE"""),"國立陽明交通大學產業加速器暨專利開發策略中心")</f>
        <v>國立陽明交通大學產業加速器暨專利開發策略中心</v>
      </c>
      <c r="C161" s="3"/>
      <c r="D161" s="3"/>
      <c r="E161" s="3"/>
    </row>
    <row r="162" spans="1:5" x14ac:dyDescent="0.25">
      <c r="A162" s="2" t="str">
        <f ca="1">IFERROR(__xludf.DUMMYFUNCTION("""COMPUTED_VALUE"""),"A1054")</f>
        <v>A1054</v>
      </c>
      <c r="B162" s="3" t="str">
        <f ca="1">IFERROR(__xludf.DUMMYFUNCTION("""COMPUTED_VALUE"""),"好食好事加速器")</f>
        <v>好食好事加速器</v>
      </c>
      <c r="C162" s="3"/>
      <c r="D162" s="3"/>
      <c r="E162" s="3"/>
    </row>
    <row r="163" spans="1:5" x14ac:dyDescent="0.25">
      <c r="A163" s="2" t="str">
        <f ca="1">IFERROR(__xludf.DUMMYFUNCTION("""COMPUTED_VALUE"""),"A1059")</f>
        <v>A1059</v>
      </c>
      <c r="B163" s="3" t="str">
        <f ca="1">IFERROR(__xludf.DUMMYFUNCTION("""COMPUTED_VALUE"""),"SparkLabs Taiwan 斯伯克國際創業投資有限公司")</f>
        <v>SparkLabs Taiwan 斯伯克國際創業投資有限公司</v>
      </c>
      <c r="C163" s="3"/>
      <c r="D163" s="3"/>
      <c r="E163" s="3"/>
    </row>
    <row r="164" spans="1:5" x14ac:dyDescent="0.25">
      <c r="A164" s="2" t="str">
        <f ca="1">IFERROR(__xludf.DUMMYFUNCTION("""COMPUTED_VALUE"""),"A1061")</f>
        <v>A1061</v>
      </c>
      <c r="B164" s="3" t="str">
        <f ca="1">IFERROR(__xludf.DUMMYFUNCTION("""COMPUTED_VALUE"""),"資誠聯合會計師事務所")</f>
        <v>資誠聯合會計師事務所</v>
      </c>
      <c r="C164" s="3"/>
      <c r="D164" s="3"/>
      <c r="E164" s="3"/>
    </row>
    <row r="165" spans="1:5" x14ac:dyDescent="0.25">
      <c r="A165" s="2" t="str">
        <f ca="1">IFERROR(__xludf.DUMMYFUNCTION("""COMPUTED_VALUE"""),"A1064")</f>
        <v>A1064</v>
      </c>
      <c r="B165" s="3" t="str">
        <f ca="1">IFERROR(__xludf.DUMMYFUNCTION("""COMPUTED_VALUE"""),"StarFab (豪覓管理顧問股份有限公司)")</f>
        <v>StarFab (豪覓管理顧問股份有限公司)</v>
      </c>
      <c r="C165" s="3"/>
      <c r="D165" s="3"/>
      <c r="E165" s="3"/>
    </row>
    <row r="166" spans="1:5" x14ac:dyDescent="0.25">
      <c r="A166" s="2" t="str">
        <f ca="1">IFERROR(__xludf.DUMMYFUNCTION("""COMPUTED_VALUE"""),"A1077")</f>
        <v>A1077</v>
      </c>
      <c r="B166" s="3" t="str">
        <f ca="1">IFERROR(__xludf.DUMMYFUNCTION("""COMPUTED_VALUE"""),"活水影響力投資")</f>
        <v>活水影響力投資</v>
      </c>
      <c r="C166" s="3"/>
      <c r="D166" s="3"/>
      <c r="E166" s="3"/>
    </row>
    <row r="167" spans="1:5" x14ac:dyDescent="0.25">
      <c r="A167" s="2" t="str">
        <f ca="1">IFERROR(__xludf.DUMMYFUNCTION("""COMPUTED_VALUE"""),"A1081")</f>
        <v>A1081</v>
      </c>
      <c r="B167" s="3" t="str">
        <f ca="1">IFERROR(__xludf.DUMMYFUNCTION("""COMPUTED_VALUE"""),"聯合創新加速器")</f>
        <v>聯合創新加速器</v>
      </c>
      <c r="C167" s="3"/>
      <c r="D167" s="3"/>
      <c r="E167" s="3"/>
    </row>
    <row r="168" spans="1:5" x14ac:dyDescent="0.25">
      <c r="A168" s="2" t="str">
        <f ca="1">IFERROR(__xludf.DUMMYFUNCTION("""COMPUTED_VALUE"""),"A1090")</f>
        <v>A1090</v>
      </c>
      <c r="B168" s="3" t="str">
        <f ca="1">IFERROR(__xludf.DUMMYFUNCTION("""COMPUTED_VALUE"""),"StarFab (豪覓管理顧問股份有限公司)")</f>
        <v>StarFab (豪覓管理顧問股份有限公司)</v>
      </c>
      <c r="C168" s="3"/>
      <c r="D168" s="3"/>
      <c r="E168" s="3"/>
    </row>
    <row r="169" spans="1:5" x14ac:dyDescent="0.25">
      <c r="A169" s="2" t="str">
        <f ca="1">IFERROR(__xludf.DUMMYFUNCTION("""COMPUTED_VALUE"""),"A1103")</f>
        <v>A1103</v>
      </c>
      <c r="B169" s="3" t="str">
        <f ca="1">IFERROR(__xludf.DUMMYFUNCTION("""COMPUTED_VALUE"""),"Muse Builder")</f>
        <v>Muse Builder</v>
      </c>
      <c r="C169" s="3"/>
      <c r="D169" s="3"/>
      <c r="E169" s="3"/>
    </row>
    <row r="170" spans="1:5" x14ac:dyDescent="0.25">
      <c r="A170" s="2" t="str">
        <f ca="1">IFERROR(__xludf.DUMMYFUNCTION("""COMPUTED_VALUE"""),"A1104")</f>
        <v>A1104</v>
      </c>
      <c r="B170" s="3" t="str">
        <f ca="1">IFERROR(__xludf.DUMMYFUNCTION("""COMPUTED_VALUE"""),"聯合創新加速器")</f>
        <v>聯合創新加速器</v>
      </c>
      <c r="C170" s="3"/>
      <c r="D170" s="3"/>
      <c r="E170" s="3"/>
    </row>
    <row r="171" spans="1:5" x14ac:dyDescent="0.25">
      <c r="A171" s="2" t="str">
        <f ca="1">IFERROR(__xludf.DUMMYFUNCTION("""COMPUTED_VALUE"""),"A1106")</f>
        <v>A1106</v>
      </c>
      <c r="B171" s="3" t="str">
        <f ca="1">IFERROR(__xludf.DUMMYFUNCTION("""COMPUTED_VALUE"""),"好食好事加速器")</f>
        <v>好食好事加速器</v>
      </c>
      <c r="C171" s="3"/>
      <c r="D171" s="3"/>
      <c r="E171" s="3"/>
    </row>
    <row r="172" spans="1:5" x14ac:dyDescent="0.25">
      <c r="A172" s="2" t="str">
        <f ca="1">IFERROR(__xludf.DUMMYFUNCTION("""COMPUTED_VALUE"""),"A1112")</f>
        <v>A1112</v>
      </c>
      <c r="B172" s="3" t="str">
        <f ca="1">IFERROR(__xludf.DUMMYFUNCTION("""COMPUTED_VALUE"""),"安永聯合會計師事務所")</f>
        <v>安永聯合會計師事務所</v>
      </c>
      <c r="C172" s="3"/>
      <c r="D172" s="3"/>
      <c r="E172" s="3"/>
    </row>
    <row r="173" spans="1:5" x14ac:dyDescent="0.25">
      <c r="A173" s="2" t="str">
        <f ca="1">IFERROR(__xludf.DUMMYFUNCTION("""COMPUTED_VALUE"""),"A1133")</f>
        <v>A1133</v>
      </c>
      <c r="B173" s="3" t="str">
        <f ca="1">IFERROR(__xludf.DUMMYFUNCTION("""COMPUTED_VALUE"""),"比翼生醫")</f>
        <v>比翼生醫</v>
      </c>
      <c r="C173" s="3"/>
      <c r="D173" s="3"/>
      <c r="E173" s="3"/>
    </row>
    <row r="174" spans="1:5" x14ac:dyDescent="0.25">
      <c r="A174" s="2" t="str">
        <f ca="1">IFERROR(__xludf.DUMMYFUNCTION("""COMPUTED_VALUE"""),"A1134")</f>
        <v>A1134</v>
      </c>
      <c r="B174" s="3" t="str">
        <f ca="1">IFERROR(__xludf.DUMMYFUNCTION("""COMPUTED_VALUE"""),"酷日國際有限公司")</f>
        <v>酷日國際有限公司</v>
      </c>
      <c r="C174" s="3"/>
      <c r="D174" s="3"/>
      <c r="E174" s="3"/>
    </row>
    <row r="175" spans="1:5" x14ac:dyDescent="0.25">
      <c r="A175" s="2" t="str">
        <f ca="1">IFERROR(__xludf.DUMMYFUNCTION("""COMPUTED_VALUE"""),"A1136")</f>
        <v>A1136</v>
      </c>
      <c r="B175" s="3" t="str">
        <f ca="1">IFERROR(__xludf.DUMMYFUNCTION("""COMPUTED_VALUE"""),"資誠聯合會計師事務所")</f>
        <v>資誠聯合會計師事務所</v>
      </c>
      <c r="C175" s="3"/>
      <c r="D175" s="3"/>
      <c r="E175" s="3"/>
    </row>
    <row r="176" spans="1:5" x14ac:dyDescent="0.25">
      <c r="A176" s="2" t="str">
        <f ca="1">IFERROR(__xludf.DUMMYFUNCTION("""COMPUTED_VALUE"""),"A1142")</f>
        <v>A1142</v>
      </c>
      <c r="B176" s="3" t="str">
        <f ca="1">IFERROR(__xludf.DUMMYFUNCTION("""COMPUTED_VALUE"""),"尚未報名/媒合中")</f>
        <v>尚未報名/媒合中</v>
      </c>
      <c r="C176" s="3"/>
      <c r="D176" s="3"/>
      <c r="E176" s="3"/>
    </row>
    <row r="177" spans="1:5" x14ac:dyDescent="0.25">
      <c r="A177" s="2" t="str">
        <f ca="1">IFERROR(__xludf.DUMMYFUNCTION("""COMPUTED_VALUE"""),"A1157")</f>
        <v>A1157</v>
      </c>
      <c r="B177" s="3" t="str">
        <f ca="1">IFERROR(__xludf.DUMMYFUNCTION("""COMPUTED_VALUE"""),"聯合創新加速器")</f>
        <v>聯合創新加速器</v>
      </c>
      <c r="C177" s="3"/>
      <c r="D177" s="3"/>
      <c r="E177" s="3"/>
    </row>
    <row r="178" spans="1:5" x14ac:dyDescent="0.25">
      <c r="A178" s="2" t="str">
        <f ca="1">IFERROR(__xludf.DUMMYFUNCTION("""COMPUTED_VALUE"""),"A1181")</f>
        <v>A1181</v>
      </c>
      <c r="B178" s="3" t="str">
        <f ca="1">IFERROR(__xludf.DUMMYFUNCTION("""COMPUTED_VALUE"""),"尚未報名/媒合中")</f>
        <v>尚未報名/媒合中</v>
      </c>
      <c r="C178" s="3"/>
      <c r="D178" s="3"/>
      <c r="E178" s="3"/>
    </row>
    <row r="179" spans="1:5" x14ac:dyDescent="0.25">
      <c r="A179" s="2" t="str">
        <f ca="1">IFERROR(__xludf.DUMMYFUNCTION("""COMPUTED_VALUE"""),"A1187")</f>
        <v>A1187</v>
      </c>
      <c r="B179" s="3" t="str">
        <f ca="1">IFERROR(__xludf.DUMMYFUNCTION("""COMPUTED_VALUE"""),"酷日國際有限公司")</f>
        <v>酷日國際有限公司</v>
      </c>
      <c r="C179" s="3"/>
      <c r="D179" s="3"/>
      <c r="E179" s="3"/>
    </row>
    <row r="180" spans="1:5" x14ac:dyDescent="0.25">
      <c r="A180" s="2" t="str">
        <f ca="1">IFERROR(__xludf.DUMMYFUNCTION("""COMPUTED_VALUE"""),"A1192")</f>
        <v>A1192</v>
      </c>
      <c r="B180" s="3" t="str">
        <f ca="1">IFERROR(__xludf.DUMMYFUNCTION("""COMPUTED_VALUE"""),"比翼生醫")</f>
        <v>比翼生醫</v>
      </c>
      <c r="C180" s="3"/>
      <c r="D180" s="3"/>
      <c r="E180" s="3"/>
    </row>
    <row r="181" spans="1:5" x14ac:dyDescent="0.25">
      <c r="A181" s="2" t="str">
        <f ca="1">IFERROR(__xludf.DUMMYFUNCTION("""COMPUTED_VALUE"""),"A1197")</f>
        <v>A1197</v>
      </c>
      <c r="B181" s="3" t="str">
        <f ca="1">IFERROR(__xludf.DUMMYFUNCTION("""COMPUTED_VALUE"""),"國立陽明交通大學產業加速器暨專利開發策略中心")</f>
        <v>國立陽明交通大學產業加速器暨專利開發策略中心</v>
      </c>
      <c r="C181" s="3"/>
      <c r="D181" s="3"/>
      <c r="E181" s="3"/>
    </row>
    <row r="182" spans="1:5" x14ac:dyDescent="0.25">
      <c r="A182" s="2" t="str">
        <f ca="1">IFERROR(__xludf.DUMMYFUNCTION("""COMPUTED_VALUE"""),"A1198")</f>
        <v>A1198</v>
      </c>
      <c r="B182" s="3" t="str">
        <f ca="1">IFERROR(__xludf.DUMMYFUNCTION("""COMPUTED_VALUE"""),"好食好事加速器")</f>
        <v>好食好事加速器</v>
      </c>
      <c r="C182" s="3"/>
      <c r="D182" s="3"/>
      <c r="E182" s="3"/>
    </row>
    <row r="183" spans="1:5" x14ac:dyDescent="0.25">
      <c r="A183" s="2" t="str">
        <f ca="1">IFERROR(__xludf.DUMMYFUNCTION("""COMPUTED_VALUE"""),"A1200")</f>
        <v>A1200</v>
      </c>
      <c r="B183" s="3" t="str">
        <f ca="1">IFERROR(__xludf.DUMMYFUNCTION("""COMPUTED_VALUE"""),"國立陽明交通大學產業加速器暨專利開發策略中心")</f>
        <v>國立陽明交通大學產業加速器暨專利開發策略中心</v>
      </c>
      <c r="C183" s="3"/>
      <c r="D183" s="3"/>
      <c r="E183" s="3"/>
    </row>
    <row r="184" spans="1:5" x14ac:dyDescent="0.25">
      <c r="A184" s="2" t="str">
        <f ca="1">IFERROR(__xludf.DUMMYFUNCTION("""COMPUTED_VALUE"""),"A1202")</f>
        <v>A1202</v>
      </c>
      <c r="B184" s="3" t="str">
        <f ca="1">IFERROR(__xludf.DUMMYFUNCTION("""COMPUTED_VALUE"""),"SparkLabs Taiwan 斯伯克國際創業投資有限公司")</f>
        <v>SparkLabs Taiwan 斯伯克國際創業投資有限公司</v>
      </c>
      <c r="C184" s="3"/>
      <c r="D184" s="3"/>
      <c r="E184" s="3"/>
    </row>
    <row r="185" spans="1:5" x14ac:dyDescent="0.25">
      <c r="A185" s="2" t="str">
        <f ca="1">IFERROR(__xludf.DUMMYFUNCTION("""COMPUTED_VALUE"""),"A1219")</f>
        <v>A1219</v>
      </c>
      <c r="B185" s="3" t="str">
        <f ca="1">IFERROR(__xludf.DUMMYFUNCTION("""COMPUTED_VALUE"""),"酷日國際有限公司")</f>
        <v>酷日國際有限公司</v>
      </c>
      <c r="C185" s="3"/>
      <c r="D185" s="3"/>
      <c r="E185" s="3"/>
    </row>
    <row r="186" spans="1:5" x14ac:dyDescent="0.25">
      <c r="A186" s="2" t="str">
        <f ca="1">IFERROR(__xludf.DUMMYFUNCTION("""COMPUTED_VALUE"""),"A1220")</f>
        <v>A1220</v>
      </c>
      <c r="B186" s="3" t="str">
        <f ca="1">IFERROR(__xludf.DUMMYFUNCTION("""COMPUTED_VALUE"""),"好食好事加速器")</f>
        <v>好食好事加速器</v>
      </c>
      <c r="C186" s="3"/>
      <c r="D186" s="3"/>
      <c r="E186" s="3"/>
    </row>
    <row r="187" spans="1:5" x14ac:dyDescent="0.25">
      <c r="A187" s="2" t="str">
        <f ca="1">IFERROR(__xludf.DUMMYFUNCTION("""COMPUTED_VALUE"""),"A1228")</f>
        <v>A1228</v>
      </c>
      <c r="B187" s="3" t="str">
        <f ca="1">IFERROR(__xludf.DUMMYFUNCTION("""COMPUTED_VALUE"""),"博大國際智權股份有限公司")</f>
        <v>博大國際智權股份有限公司</v>
      </c>
      <c r="C187" s="3"/>
      <c r="D187" s="3"/>
      <c r="E187" s="3"/>
    </row>
    <row r="188" spans="1:5" x14ac:dyDescent="0.25">
      <c r="A188" s="2" t="str">
        <f ca="1">IFERROR(__xludf.DUMMYFUNCTION("""COMPUTED_VALUE"""),"A1236")</f>
        <v>A1236</v>
      </c>
      <c r="B188" s="3" t="str">
        <f ca="1">IFERROR(__xludf.DUMMYFUNCTION("""COMPUTED_VALUE"""),"尚未報名/媒合中")</f>
        <v>尚未報名/媒合中</v>
      </c>
      <c r="C188" s="3"/>
      <c r="D188" s="3"/>
      <c r="E188" s="3"/>
    </row>
    <row r="189" spans="1:5" x14ac:dyDescent="0.25">
      <c r="A189" s="2" t="str">
        <f ca="1">IFERROR(__xludf.DUMMYFUNCTION("""COMPUTED_VALUE"""),"A1257")</f>
        <v>A1257</v>
      </c>
      <c r="B189" s="3" t="str">
        <f ca="1">IFERROR(__xludf.DUMMYFUNCTION("""COMPUTED_VALUE"""),"SparkLabs Taiwan 斯伯克國際創業投資有限公司")</f>
        <v>SparkLabs Taiwan 斯伯克國際創業投資有限公司</v>
      </c>
      <c r="C189" s="3"/>
      <c r="D189" s="3"/>
      <c r="E189" s="3"/>
    </row>
    <row r="190" spans="1:5" x14ac:dyDescent="0.25">
      <c r="A190" s="2" t="str">
        <f ca="1">IFERROR(__xludf.DUMMYFUNCTION("""COMPUTED_VALUE"""),"A1273")</f>
        <v>A1273</v>
      </c>
      <c r="B190" s="3" t="str">
        <f ca="1">IFERROR(__xludf.DUMMYFUNCTION("""COMPUTED_VALUE"""),"Muse Builder")</f>
        <v>Muse Builder</v>
      </c>
      <c r="C190" s="3"/>
      <c r="D190" s="3"/>
      <c r="E190" s="3"/>
    </row>
    <row r="191" spans="1:5" x14ac:dyDescent="0.25">
      <c r="A191" s="2" t="str">
        <f ca="1">IFERROR(__xludf.DUMMYFUNCTION("""COMPUTED_VALUE"""),"A1277")</f>
        <v>A1277</v>
      </c>
      <c r="B191" s="3" t="str">
        <f ca="1">IFERROR(__xludf.DUMMYFUNCTION("""COMPUTED_VALUE"""),"Garage+")</f>
        <v>Garage+</v>
      </c>
      <c r="C191" s="3"/>
      <c r="D191" s="3"/>
      <c r="E191" s="3"/>
    </row>
    <row r="192" spans="1:5" x14ac:dyDescent="0.25">
      <c r="A192" s="2" t="str">
        <f ca="1">IFERROR(__xludf.DUMMYFUNCTION("""COMPUTED_VALUE"""),"A1284")</f>
        <v>A1284</v>
      </c>
      <c r="B192" s="3" t="str">
        <f ca="1">IFERROR(__xludf.DUMMYFUNCTION("""COMPUTED_VALUE"""),"Mosaic Venture Lab 宇斻管理顧問股份有限公司")</f>
        <v>Mosaic Venture Lab 宇斻管理顧問股份有限公司</v>
      </c>
      <c r="C192" s="3"/>
      <c r="D192" s="3"/>
      <c r="E192" s="3"/>
    </row>
    <row r="193" spans="1:5" x14ac:dyDescent="0.25">
      <c r="A193" s="2" t="str">
        <f ca="1">IFERROR(__xludf.DUMMYFUNCTION("""COMPUTED_VALUE"""),"A1301")</f>
        <v>A1301</v>
      </c>
      <c r="B193" s="3" t="str">
        <f ca="1">IFERROR(__xludf.DUMMYFUNCTION("""COMPUTED_VALUE"""),"SparkLabs Taiwan 斯伯克國際創業投資有限公司")</f>
        <v>SparkLabs Taiwan 斯伯克國際創業投資有限公司</v>
      </c>
      <c r="C193" s="3"/>
      <c r="D193" s="3"/>
      <c r="E193" s="3"/>
    </row>
    <row r="194" spans="1:5" x14ac:dyDescent="0.25">
      <c r="A194" s="2" t="str">
        <f ca="1">IFERROR(__xludf.DUMMYFUNCTION("""COMPUTED_VALUE"""),"A1313")</f>
        <v>A1313</v>
      </c>
      <c r="B194" s="3" t="str">
        <f ca="1">IFERROR(__xludf.DUMMYFUNCTION("""COMPUTED_VALUE"""),"資誠聯合會計師事務所")</f>
        <v>資誠聯合會計師事務所</v>
      </c>
      <c r="C194" s="3"/>
      <c r="D194" s="3"/>
      <c r="E194" s="3"/>
    </row>
    <row r="195" spans="1:5" x14ac:dyDescent="0.25">
      <c r="A195" s="2" t="str">
        <f ca="1">IFERROR(__xludf.DUMMYFUNCTION("""COMPUTED_VALUE"""),"A1326")</f>
        <v>A1326</v>
      </c>
      <c r="B195" s="3" t="str">
        <f ca="1">IFERROR(__xludf.DUMMYFUNCTION("""COMPUTED_VALUE"""),"資誠聯合會計師事務所")</f>
        <v>資誠聯合會計師事務所</v>
      </c>
      <c r="C195" s="3"/>
      <c r="D195" s="3"/>
      <c r="E195" s="3"/>
    </row>
    <row r="196" spans="1:5" x14ac:dyDescent="0.25">
      <c r="A196" s="2" t="str">
        <f ca="1">IFERROR(__xludf.DUMMYFUNCTION("""COMPUTED_VALUE"""),"A1342")</f>
        <v>A1342</v>
      </c>
      <c r="B196" s="3" t="str">
        <f ca="1">IFERROR(__xludf.DUMMYFUNCTION("""COMPUTED_VALUE"""),"聯合創新加速器")</f>
        <v>聯合創新加速器</v>
      </c>
      <c r="C196" s="3"/>
      <c r="D196" s="3"/>
      <c r="E196" s="3"/>
    </row>
    <row r="197" spans="1:5" x14ac:dyDescent="0.25">
      <c r="A197" s="2" t="str">
        <f ca="1">IFERROR(__xludf.DUMMYFUNCTION("""COMPUTED_VALUE"""),"A1343")</f>
        <v>A1343</v>
      </c>
      <c r="B197" s="3" t="str">
        <f ca="1">IFERROR(__xludf.DUMMYFUNCTION("""COMPUTED_VALUE"""),"Muse Builder")</f>
        <v>Muse Builder</v>
      </c>
      <c r="C197" s="3"/>
      <c r="D197" s="3"/>
      <c r="E197" s="3"/>
    </row>
    <row r="198" spans="1:5" x14ac:dyDescent="0.25">
      <c r="A198" s="2" t="str">
        <f ca="1">IFERROR(__xludf.DUMMYFUNCTION("""COMPUTED_VALUE"""),"A1348")</f>
        <v>A1348</v>
      </c>
      <c r="B198" s="3" t="str">
        <f ca="1">IFERROR(__xludf.DUMMYFUNCTION("""COMPUTED_VALUE"""),"尚未報名/媒合中")</f>
        <v>尚未報名/媒合中</v>
      </c>
      <c r="C198" s="3"/>
      <c r="D198" s="3"/>
      <c r="E198" s="3"/>
    </row>
    <row r="199" spans="1:5" x14ac:dyDescent="0.25">
      <c r="A199" s="2" t="str">
        <f ca="1">IFERROR(__xludf.DUMMYFUNCTION("""COMPUTED_VALUE"""),"A1355")</f>
        <v>A1355</v>
      </c>
      <c r="B199" s="3" t="str">
        <f ca="1">IFERROR(__xludf.DUMMYFUNCTION("""COMPUTED_VALUE"""),"SparkLabs Taiwan 斯伯克國際創業投資有限公司")</f>
        <v>SparkLabs Taiwan 斯伯克國際創業投資有限公司</v>
      </c>
      <c r="C199" s="3"/>
      <c r="D199" s="3"/>
      <c r="E199" s="3"/>
    </row>
    <row r="200" spans="1:5" x14ac:dyDescent="0.25">
      <c r="A200" s="2" t="str">
        <f ca="1">IFERROR(__xludf.DUMMYFUNCTION("""COMPUTED_VALUE"""),"A1361")</f>
        <v>A1361</v>
      </c>
      <c r="B200" s="3" t="str">
        <f ca="1">IFERROR(__xludf.DUMMYFUNCTION("""COMPUTED_VALUE"""),"尚未報名/媒合中")</f>
        <v>尚未報名/媒合中</v>
      </c>
      <c r="C200" s="3"/>
      <c r="D200" s="3"/>
      <c r="E200" s="3"/>
    </row>
    <row r="201" spans="1:5" x14ac:dyDescent="0.25">
      <c r="A201" s="2" t="str">
        <f ca="1">IFERROR(__xludf.DUMMYFUNCTION("""COMPUTED_VALUE"""),"A1367")</f>
        <v>A1367</v>
      </c>
      <c r="B201" s="3" t="str">
        <f ca="1">IFERROR(__xludf.DUMMYFUNCTION("""COMPUTED_VALUE"""),"資誠聯合會計師事務所")</f>
        <v>資誠聯合會計師事務所</v>
      </c>
      <c r="C201" s="3"/>
      <c r="D201" s="3"/>
      <c r="E201" s="3"/>
    </row>
    <row r="202" spans="1:5" x14ac:dyDescent="0.25">
      <c r="A202" s="2" t="str">
        <f ca="1">IFERROR(__xludf.DUMMYFUNCTION("""COMPUTED_VALUE"""),"A1377")</f>
        <v>A1377</v>
      </c>
      <c r="B202" s="3" t="str">
        <f ca="1">IFERROR(__xludf.DUMMYFUNCTION("""COMPUTED_VALUE"""),"扶田資本股份有限公司")</f>
        <v>扶田資本股份有限公司</v>
      </c>
      <c r="C202" s="3"/>
      <c r="D202" s="3"/>
      <c r="E202" s="3"/>
    </row>
    <row r="203" spans="1:5" x14ac:dyDescent="0.25">
      <c r="A203" s="2" t="str">
        <f ca="1">IFERROR(__xludf.DUMMYFUNCTION("""COMPUTED_VALUE"""),"A1405")</f>
        <v>A1405</v>
      </c>
      <c r="B203" s="3" t="str">
        <f ca="1">IFERROR(__xludf.DUMMYFUNCTION("""COMPUTED_VALUE"""),"SparkLabs Taiwan 斯伯克國際創業投資有限公司")</f>
        <v>SparkLabs Taiwan 斯伯克國際創業投資有限公司</v>
      </c>
      <c r="C203" s="3"/>
      <c r="D203" s="3"/>
      <c r="E203" s="3"/>
    </row>
    <row r="204" spans="1:5" x14ac:dyDescent="0.25">
      <c r="A204" s="2" t="str">
        <f ca="1">IFERROR(__xludf.DUMMYFUNCTION("""COMPUTED_VALUE"""),"A1421")</f>
        <v>A1421</v>
      </c>
      <c r="B204" s="3" t="str">
        <f ca="1">IFERROR(__xludf.DUMMYFUNCTION("""COMPUTED_VALUE"""),"酷日國際有限公司")</f>
        <v>酷日國際有限公司</v>
      </c>
      <c r="C204" s="3"/>
      <c r="D204" s="3"/>
      <c r="E204" s="3"/>
    </row>
    <row r="205" spans="1:5" x14ac:dyDescent="0.25">
      <c r="A205" s="2" t="str">
        <f ca="1">IFERROR(__xludf.DUMMYFUNCTION("""COMPUTED_VALUE"""),"A1464")</f>
        <v>A1464</v>
      </c>
      <c r="B205" s="3" t="str">
        <f ca="1">IFERROR(__xludf.DUMMYFUNCTION("""COMPUTED_VALUE"""),"SparkLabs Taiwan 斯伯克國際創業投資有限公司")</f>
        <v>SparkLabs Taiwan 斯伯克國際創業投資有限公司</v>
      </c>
      <c r="C205" s="3"/>
      <c r="D205" s="3"/>
      <c r="E205" s="3"/>
    </row>
    <row r="206" spans="1:5" x14ac:dyDescent="0.25">
      <c r="A206" s="2" t="str">
        <f ca="1">IFERROR(__xludf.DUMMYFUNCTION("""COMPUTED_VALUE"""),"A1491")</f>
        <v>A1491</v>
      </c>
      <c r="B206" s="3" t="str">
        <f ca="1">IFERROR(__xludf.DUMMYFUNCTION("""COMPUTED_VALUE"""),"購威經濟股份有限公司(智慧高軟)")</f>
        <v>購威經濟股份有限公司(智慧高軟)</v>
      </c>
      <c r="C206" s="3"/>
      <c r="D206" s="3"/>
      <c r="E206" s="3"/>
    </row>
    <row r="207" spans="1:5" x14ac:dyDescent="0.25">
      <c r="A207" s="2" t="str">
        <f ca="1">IFERROR(__xludf.DUMMYFUNCTION("""COMPUTED_VALUE"""),"A1577")</f>
        <v>A1577</v>
      </c>
      <c r="B207" s="3" t="str">
        <f ca="1">IFERROR(__xludf.DUMMYFUNCTION("""COMPUTED_VALUE"""),"Mosaic Venture Lab 宇斻管理顧問股份有限公司")</f>
        <v>Mosaic Venture Lab 宇斻管理顧問股份有限公司</v>
      </c>
      <c r="C207" s="3"/>
      <c r="D207" s="3"/>
      <c r="E207" s="3"/>
    </row>
    <row r="208" spans="1:5" x14ac:dyDescent="0.25">
      <c r="A208" s="2" t="str">
        <f ca="1">IFERROR(__xludf.DUMMYFUNCTION("""COMPUTED_VALUE"""),"A1579")</f>
        <v>A1579</v>
      </c>
      <c r="B208" s="3" t="str">
        <f ca="1">IFERROR(__xludf.DUMMYFUNCTION("""COMPUTED_VALUE"""),"台灣智慧雲端服務股份有限公司（台智雲）")</f>
        <v>台灣智慧雲端服務股份有限公司（台智雲）</v>
      </c>
      <c r="C208" s="3"/>
      <c r="D208" s="3"/>
      <c r="E208" s="3"/>
    </row>
    <row r="209" spans="1:5" x14ac:dyDescent="0.25">
      <c r="A209" s="2" t="str">
        <f ca="1">IFERROR(__xludf.DUMMYFUNCTION("""COMPUTED_VALUE"""),"A1590")</f>
        <v>A1590</v>
      </c>
      <c r="B209" s="3" t="str">
        <f ca="1">IFERROR(__xludf.DUMMYFUNCTION("""COMPUTED_VALUE"""),"StarFab (豪覓管理顧問股份有限公司)")</f>
        <v>StarFab (豪覓管理顧問股份有限公司)</v>
      </c>
      <c r="C209" s="3"/>
      <c r="D209" s="3"/>
      <c r="E209" s="3"/>
    </row>
    <row r="210" spans="1:5" x14ac:dyDescent="0.25">
      <c r="A210" s="2" t="str">
        <f ca="1">IFERROR(__xludf.DUMMYFUNCTION("""COMPUTED_VALUE"""),"A1631")</f>
        <v>A1631</v>
      </c>
      <c r="B210" s="3" t="str">
        <f ca="1">IFERROR(__xludf.DUMMYFUNCTION("""COMPUTED_VALUE"""),"尚未報名/媒合中")</f>
        <v>尚未報名/媒合中</v>
      </c>
      <c r="C210" s="3"/>
      <c r="D210" s="3"/>
      <c r="E210" s="3"/>
    </row>
    <row r="211" spans="1:5" x14ac:dyDescent="0.25">
      <c r="A211" s="2" t="str">
        <f ca="1">IFERROR(__xludf.DUMMYFUNCTION("""COMPUTED_VALUE"""),"B0012")</f>
        <v>B0012</v>
      </c>
      <c r="B211" s="3" t="str">
        <f ca="1">IFERROR(__xludf.DUMMYFUNCTION("""COMPUTED_VALUE"""),"扶田資本股份有限公司")</f>
        <v>扶田資本股份有限公司</v>
      </c>
      <c r="C211" s="3"/>
      <c r="D211" s="3"/>
      <c r="E211" s="3"/>
    </row>
    <row r="212" spans="1:5" x14ac:dyDescent="0.25">
      <c r="A212" s="2" t="str">
        <f ca="1">IFERROR(__xludf.DUMMYFUNCTION("""COMPUTED_VALUE"""),"B0016")</f>
        <v>B0016</v>
      </c>
      <c r="B212" s="3" t="str">
        <f ca="1">IFERROR(__xludf.DUMMYFUNCTION("""COMPUTED_VALUE"""),"SparkLabs Taiwan 斯伯克國際創業投資有限公司")</f>
        <v>SparkLabs Taiwan 斯伯克國際創業投資有限公司</v>
      </c>
      <c r="C212" s="3"/>
      <c r="D212" s="3"/>
      <c r="E212" s="3"/>
    </row>
    <row r="213" spans="1:5" x14ac:dyDescent="0.25">
      <c r="A213" s="2" t="str">
        <f ca="1">IFERROR(__xludf.DUMMYFUNCTION("""COMPUTED_VALUE"""),"B0019")</f>
        <v>B0019</v>
      </c>
      <c r="B213" s="3" t="str">
        <f ca="1">IFERROR(__xludf.DUMMYFUNCTION("""COMPUTED_VALUE"""),"Muse Builder")</f>
        <v>Muse Builder</v>
      </c>
      <c r="C213" s="3"/>
      <c r="D213" s="3"/>
      <c r="E213" s="3"/>
    </row>
    <row r="214" spans="1:5" x14ac:dyDescent="0.25">
      <c r="A214" s="2" t="str">
        <f ca="1">IFERROR(__xludf.DUMMYFUNCTION("""COMPUTED_VALUE"""),"B0050")</f>
        <v>B0050</v>
      </c>
      <c r="B214" s="3" t="str">
        <f ca="1">IFERROR(__xludf.DUMMYFUNCTION("""COMPUTED_VALUE"""),"酷日國際有限公司")</f>
        <v>酷日國際有限公司</v>
      </c>
      <c r="C214" s="3"/>
      <c r="D214" s="3"/>
      <c r="E214" s="3"/>
    </row>
    <row r="215" spans="1:5" x14ac:dyDescent="0.25">
      <c r="A215" s="2" t="str">
        <f ca="1">IFERROR(__xludf.DUMMYFUNCTION("""COMPUTED_VALUE"""),"B0055")</f>
        <v>B0055</v>
      </c>
      <c r="B215" s="3" t="str">
        <f ca="1">IFERROR(__xludf.DUMMYFUNCTION("""COMPUTED_VALUE"""),"Garage+")</f>
        <v>Garage+</v>
      </c>
      <c r="C215" s="3"/>
      <c r="D215" s="3"/>
      <c r="E215" s="3"/>
    </row>
    <row r="216" spans="1:5" x14ac:dyDescent="0.25">
      <c r="A216" s="2" t="str">
        <f ca="1">IFERROR(__xludf.DUMMYFUNCTION("""COMPUTED_VALUE"""),"B0082")</f>
        <v>B0082</v>
      </c>
      <c r="B216" s="3" t="str">
        <f ca="1">IFERROR(__xludf.DUMMYFUNCTION("""COMPUTED_VALUE"""),"Muse Builder")</f>
        <v>Muse Builder</v>
      </c>
      <c r="C216" s="3"/>
      <c r="D216" s="3"/>
      <c r="E216" s="3"/>
    </row>
    <row r="217" spans="1:5" x14ac:dyDescent="0.25">
      <c r="A217" s="2" t="str">
        <f ca="1">IFERROR(__xludf.DUMMYFUNCTION("""COMPUTED_VALUE"""),"B0136")</f>
        <v>B0136</v>
      </c>
      <c r="B217" s="3" t="str">
        <f ca="1">IFERROR(__xludf.DUMMYFUNCTION("""COMPUTED_VALUE"""),"台灣智慧雲端服務股份有限公司（台智雲）")</f>
        <v>台灣智慧雲端服務股份有限公司（台智雲）</v>
      </c>
      <c r="C217" s="3"/>
      <c r="D217" s="3"/>
      <c r="E217" s="3"/>
    </row>
    <row r="218" spans="1:5" x14ac:dyDescent="0.25">
      <c r="A218" s="2" t="str">
        <f ca="1">IFERROR(__xludf.DUMMYFUNCTION("""COMPUTED_VALUE"""),"B0140")</f>
        <v>B0140</v>
      </c>
      <c r="B218" s="3" t="str">
        <f ca="1">IFERROR(__xludf.DUMMYFUNCTION("""COMPUTED_VALUE"""),"SparkLabs Taiwan 斯伯克國際創業投資有限公司")</f>
        <v>SparkLabs Taiwan 斯伯克國際創業投資有限公司</v>
      </c>
      <c r="C218" s="3"/>
      <c r="D218" s="3"/>
      <c r="E218" s="3"/>
    </row>
    <row r="219" spans="1:5" x14ac:dyDescent="0.25">
      <c r="A219" s="2" t="str">
        <f ca="1">IFERROR(__xludf.DUMMYFUNCTION("""COMPUTED_VALUE"""),"B0144")</f>
        <v>B0144</v>
      </c>
      <c r="B219" s="3" t="str">
        <f ca="1">IFERROR(__xludf.DUMMYFUNCTION("""COMPUTED_VALUE"""),"比翼生醫")</f>
        <v>比翼生醫</v>
      </c>
      <c r="C219" s="3"/>
      <c r="D219" s="3"/>
      <c r="E219" s="3"/>
    </row>
    <row r="220" spans="1:5" x14ac:dyDescent="0.25">
      <c r="A220" s="2" t="str">
        <f ca="1">IFERROR(__xludf.DUMMYFUNCTION("""COMPUTED_VALUE"""),"B0152")</f>
        <v>B0152</v>
      </c>
      <c r="B220" s="3" t="str">
        <f ca="1">IFERROR(__xludf.DUMMYFUNCTION("""COMPUTED_VALUE"""),"聯合創新加速器")</f>
        <v>聯合創新加速器</v>
      </c>
      <c r="C220" s="3"/>
      <c r="D220" s="3"/>
      <c r="E220" s="3"/>
    </row>
    <row r="221" spans="1:5" x14ac:dyDescent="0.25">
      <c r="A221" s="2" t="str">
        <f ca="1">IFERROR(__xludf.DUMMYFUNCTION("""COMPUTED_VALUE"""),"B0167")</f>
        <v>B0167</v>
      </c>
      <c r="B221" s="3" t="str">
        <f ca="1">IFERROR(__xludf.DUMMYFUNCTION("""COMPUTED_VALUE"""),"資誠聯合會計師事務所")</f>
        <v>資誠聯合會計師事務所</v>
      </c>
      <c r="C221" s="3"/>
      <c r="D221" s="3"/>
      <c r="E221" s="3"/>
    </row>
    <row r="222" spans="1:5" x14ac:dyDescent="0.25">
      <c r="A222" s="2" t="str">
        <f ca="1">IFERROR(__xludf.DUMMYFUNCTION("""COMPUTED_VALUE"""),"B0179")</f>
        <v>B0179</v>
      </c>
      <c r="B222" s="3" t="str">
        <f ca="1">IFERROR(__xludf.DUMMYFUNCTION("""COMPUTED_VALUE"""),"Garage+")</f>
        <v>Garage+</v>
      </c>
      <c r="C222" s="3"/>
      <c r="D222" s="3"/>
      <c r="E222" s="3"/>
    </row>
    <row r="223" spans="1:5" x14ac:dyDescent="0.25">
      <c r="A223" s="2" t="str">
        <f ca="1">IFERROR(__xludf.DUMMYFUNCTION("""COMPUTED_VALUE"""),"B0182")</f>
        <v>B0182</v>
      </c>
      <c r="B223" s="3" t="str">
        <f ca="1">IFERROR(__xludf.DUMMYFUNCTION("""COMPUTED_VALUE"""),"比翼生醫")</f>
        <v>比翼生醫</v>
      </c>
      <c r="C223" s="3"/>
      <c r="D223" s="3"/>
      <c r="E223" s="3"/>
    </row>
    <row r="224" spans="1:5" x14ac:dyDescent="0.25">
      <c r="A224" s="2" t="str">
        <f ca="1">IFERROR(__xludf.DUMMYFUNCTION("""COMPUTED_VALUE"""),"B0185")</f>
        <v>B0185</v>
      </c>
      <c r="B224" s="3" t="str">
        <f ca="1">IFERROR(__xludf.DUMMYFUNCTION("""COMPUTED_VALUE"""),"國立陽明交通大學產業加速器暨專利開發策略中心")</f>
        <v>國立陽明交通大學產業加速器暨專利開發策略中心</v>
      </c>
      <c r="C224" s="3"/>
      <c r="D224" s="3"/>
      <c r="E224" s="3"/>
    </row>
    <row r="225" spans="1:5" x14ac:dyDescent="0.25">
      <c r="A225" s="2" t="str">
        <f ca="1">IFERROR(__xludf.DUMMYFUNCTION("""COMPUTED_VALUE"""),"B0190")</f>
        <v>B0190</v>
      </c>
      <c r="B225" s="3" t="str">
        <f ca="1">IFERROR(__xludf.DUMMYFUNCTION("""COMPUTED_VALUE"""),"Mighty Net(邁特創新基地)")</f>
        <v>Mighty Net(邁特創新基地)</v>
      </c>
      <c r="C225" s="3"/>
      <c r="D225" s="3"/>
      <c r="E225" s="3"/>
    </row>
    <row r="226" spans="1:5" x14ac:dyDescent="0.25">
      <c r="A226" s="2" t="str">
        <f ca="1">IFERROR(__xludf.DUMMYFUNCTION("""COMPUTED_VALUE"""),"B0208")</f>
        <v>B0208</v>
      </c>
      <c r="B226" s="3" t="str">
        <f ca="1">IFERROR(__xludf.DUMMYFUNCTION("""COMPUTED_VALUE"""),"國家衛生研究院/ 創新育成中心")</f>
        <v>國家衛生研究院/ 創新育成中心</v>
      </c>
      <c r="C226" s="3"/>
      <c r="D226" s="3"/>
      <c r="E226" s="3"/>
    </row>
    <row r="227" spans="1:5" x14ac:dyDescent="0.25">
      <c r="A227" s="2" t="str">
        <f ca="1">IFERROR(__xludf.DUMMYFUNCTION("""COMPUTED_VALUE"""),"B0222")</f>
        <v>B0222</v>
      </c>
      <c r="B227" s="3" t="str">
        <f ca="1">IFERROR(__xludf.DUMMYFUNCTION("""COMPUTED_VALUE"""),"資育股份有限公司")</f>
        <v>資育股份有限公司</v>
      </c>
      <c r="C227" s="3"/>
      <c r="D227" s="3"/>
      <c r="E227" s="3"/>
    </row>
    <row r="228" spans="1:5" x14ac:dyDescent="0.25">
      <c r="A228" s="2" t="str">
        <f ca="1">IFERROR(__xludf.DUMMYFUNCTION("""COMPUTED_VALUE"""),"B0233")</f>
        <v>B0233</v>
      </c>
      <c r="B228" s="3" t="str">
        <f ca="1">IFERROR(__xludf.DUMMYFUNCTION("""COMPUTED_VALUE"""),"國家衛生研究院/ 創新育成中心")</f>
        <v>國家衛生研究院/ 創新育成中心</v>
      </c>
      <c r="C228" s="3"/>
      <c r="D228" s="3"/>
      <c r="E228" s="3"/>
    </row>
    <row r="229" spans="1:5" x14ac:dyDescent="0.25">
      <c r="A229" s="2" t="str">
        <f ca="1">IFERROR(__xludf.DUMMYFUNCTION("""COMPUTED_VALUE"""),"B0253")</f>
        <v>B0253</v>
      </c>
      <c r="B229" s="3" t="str">
        <f ca="1">IFERROR(__xludf.DUMMYFUNCTION("""COMPUTED_VALUE"""),"比翼生醫")</f>
        <v>比翼生醫</v>
      </c>
      <c r="C229" s="3"/>
      <c r="D229" s="3"/>
      <c r="E229" s="3"/>
    </row>
    <row r="230" spans="1:5" x14ac:dyDescent="0.25">
      <c r="A230" s="2" t="str">
        <f ca="1">IFERROR(__xludf.DUMMYFUNCTION("""COMPUTED_VALUE"""),"B0259")</f>
        <v>B0259</v>
      </c>
      <c r="B230" s="3" t="str">
        <f ca="1">IFERROR(__xludf.DUMMYFUNCTION("""COMPUTED_VALUE"""),"國家衛生研究院/ 創新育成中心")</f>
        <v>國家衛生研究院/ 創新育成中心</v>
      </c>
      <c r="C230" s="3"/>
      <c r="D230" s="3"/>
      <c r="E230" s="3"/>
    </row>
    <row r="231" spans="1:5" x14ac:dyDescent="0.25">
      <c r="A231" s="8" t="str">
        <f ca="1">IFERROR(__xludf.DUMMYFUNCTION("""COMPUTED_VALUE"""),"B0274")</f>
        <v>B0274</v>
      </c>
      <c r="B231" s="9" t="str">
        <f ca="1">IFERROR(__xludf.DUMMYFUNCTION("""COMPUTED_VALUE"""),"SparkLabs Taiwan 斯伯克國際創業投資有限公司")</f>
        <v>SparkLabs Taiwan 斯伯克國際創業投資有限公司</v>
      </c>
      <c r="C231" s="3"/>
      <c r="D231" s="3"/>
      <c r="E231" s="3"/>
    </row>
    <row r="232" spans="1:5" x14ac:dyDescent="0.25">
      <c r="A232" s="2" t="str">
        <f ca="1">IFERROR(__xludf.DUMMYFUNCTION("""COMPUTED_VALUE"""),"B0305")</f>
        <v>B0305</v>
      </c>
      <c r="B232" s="3" t="str">
        <f ca="1">IFERROR(__xludf.DUMMYFUNCTION("""COMPUTED_VALUE"""),"好食好事加速器")</f>
        <v>好食好事加速器</v>
      </c>
      <c r="C232" s="3"/>
      <c r="D232" s="3"/>
      <c r="E232" s="3"/>
    </row>
    <row r="233" spans="1:5" x14ac:dyDescent="0.25">
      <c r="A233" s="2" t="str">
        <f ca="1">IFERROR(__xludf.DUMMYFUNCTION("""COMPUTED_VALUE"""),"B0321")</f>
        <v>B0321</v>
      </c>
      <c r="B233" s="3" t="str">
        <f ca="1">IFERROR(__xludf.DUMMYFUNCTION("""COMPUTED_VALUE"""),"安永聯合會計師事務所")</f>
        <v>安永聯合會計師事務所</v>
      </c>
      <c r="C233" s="3"/>
      <c r="D233" s="3"/>
      <c r="E233" s="3"/>
    </row>
    <row r="234" spans="1:5" x14ac:dyDescent="0.25">
      <c r="A234" s="2" t="str">
        <f ca="1">IFERROR(__xludf.DUMMYFUNCTION("""COMPUTED_VALUE"""),"B0344")</f>
        <v>B0344</v>
      </c>
      <c r="B234" s="3" t="str">
        <f ca="1">IFERROR(__xludf.DUMMYFUNCTION("""COMPUTED_VALUE"""),"購威經濟股份有限公司(智慧高軟)")</f>
        <v>購威經濟股份有限公司(智慧高軟)</v>
      </c>
      <c r="C234" s="3"/>
      <c r="D234" s="3"/>
      <c r="E234" s="3"/>
    </row>
    <row r="235" spans="1:5" x14ac:dyDescent="0.25">
      <c r="A235" s="2" t="str">
        <f ca="1">IFERROR(__xludf.DUMMYFUNCTION("""COMPUTED_VALUE"""),"B0354")</f>
        <v>B0354</v>
      </c>
      <c r="B235" s="3" t="str">
        <f ca="1">IFERROR(__xludf.DUMMYFUNCTION("""COMPUTED_VALUE"""),"比翼生醫")</f>
        <v>比翼生醫</v>
      </c>
      <c r="C235" s="3"/>
      <c r="D235" s="3"/>
      <c r="E235" s="3"/>
    </row>
    <row r="236" spans="1:5" x14ac:dyDescent="0.25">
      <c r="A236" s="2" t="str">
        <f ca="1">IFERROR(__xludf.DUMMYFUNCTION("""COMPUTED_VALUE"""),"B0369")</f>
        <v>B0369</v>
      </c>
      <c r="B236" s="3" t="str">
        <f ca="1">IFERROR(__xludf.DUMMYFUNCTION("""COMPUTED_VALUE"""),"安永聯合會計師事務所")</f>
        <v>安永聯合會計師事務所</v>
      </c>
      <c r="C236" s="3"/>
      <c r="D236" s="3"/>
      <c r="E236" s="3"/>
    </row>
    <row r="237" spans="1:5" x14ac:dyDescent="0.25">
      <c r="A237" s="2" t="str">
        <f ca="1">IFERROR(__xludf.DUMMYFUNCTION("""COMPUTED_VALUE"""),"B0398")</f>
        <v>B0398</v>
      </c>
      <c r="B237" s="3" t="str">
        <f ca="1">IFERROR(__xludf.DUMMYFUNCTION("""COMPUTED_VALUE"""),"博大國際智權股份有限公司")</f>
        <v>博大國際智權股份有限公司</v>
      </c>
      <c r="C237" s="3"/>
      <c r="D237" s="3"/>
      <c r="E237" s="3"/>
    </row>
    <row r="238" spans="1:5" x14ac:dyDescent="0.25">
      <c r="A238" s="2" t="str">
        <f ca="1">IFERROR(__xludf.DUMMYFUNCTION("""COMPUTED_VALUE"""),"B0399")</f>
        <v>B0399</v>
      </c>
      <c r="B238" s="3" t="str">
        <f ca="1">IFERROR(__xludf.DUMMYFUNCTION("""COMPUTED_VALUE"""),"國家衛生研究院/ 創新育成中心")</f>
        <v>國家衛生研究院/ 創新育成中心</v>
      </c>
      <c r="C238" s="3"/>
      <c r="D238" s="3"/>
      <c r="E238" s="3"/>
    </row>
    <row r="239" spans="1:5" x14ac:dyDescent="0.25">
      <c r="A239" s="2" t="str">
        <f ca="1">IFERROR(__xludf.DUMMYFUNCTION("""COMPUTED_VALUE"""),"B0400")</f>
        <v>B0400</v>
      </c>
      <c r="B239" s="3" t="str">
        <f ca="1">IFERROR(__xludf.DUMMYFUNCTION("""COMPUTED_VALUE"""),"SparkLabs Taiwan 斯伯克國際創業投資有限公司")</f>
        <v>SparkLabs Taiwan 斯伯克國際創業投資有限公司</v>
      </c>
      <c r="C239" s="3"/>
      <c r="D239" s="3"/>
      <c r="E239" s="3"/>
    </row>
    <row r="240" spans="1:5" x14ac:dyDescent="0.25">
      <c r="A240" s="2" t="str">
        <f ca="1">IFERROR(__xludf.DUMMYFUNCTION("""COMPUTED_VALUE"""),"B0402")</f>
        <v>B0402</v>
      </c>
      <c r="B240" s="3" t="str">
        <f ca="1">IFERROR(__xludf.DUMMYFUNCTION("""COMPUTED_VALUE"""),"Muse Builder")</f>
        <v>Muse Builder</v>
      </c>
      <c r="C240" s="3"/>
      <c r="D240" s="3"/>
      <c r="E240" s="3"/>
    </row>
    <row r="241" spans="1:5" x14ac:dyDescent="0.25">
      <c r="A241" s="2" t="str">
        <f ca="1">IFERROR(__xludf.DUMMYFUNCTION("""COMPUTED_VALUE"""),"B0442")</f>
        <v>B0442</v>
      </c>
      <c r="B241" s="3" t="str">
        <f ca="1">IFERROR(__xludf.DUMMYFUNCTION("""COMPUTED_VALUE"""),"聯合創新加速器")</f>
        <v>聯合創新加速器</v>
      </c>
      <c r="C241" s="3"/>
      <c r="D241" s="3"/>
      <c r="E241" s="3"/>
    </row>
    <row r="242" spans="1:5" x14ac:dyDescent="0.25">
      <c r="A242" s="2" t="str">
        <f ca="1">IFERROR(__xludf.DUMMYFUNCTION("""COMPUTED_VALUE"""),"B0446")</f>
        <v>B0446</v>
      </c>
      <c r="B242" s="3" t="str">
        <f ca="1">IFERROR(__xludf.DUMMYFUNCTION("""COMPUTED_VALUE"""),"SparkLabs Taiwan 斯伯克國際創業投資有限公司")</f>
        <v>SparkLabs Taiwan 斯伯克國際創業投資有限公司</v>
      </c>
      <c r="C242" s="3"/>
      <c r="D242" s="3"/>
      <c r="E242" s="3"/>
    </row>
    <row r="243" spans="1:5" x14ac:dyDescent="0.25">
      <c r="A243" s="2" t="str">
        <f ca="1">IFERROR(__xludf.DUMMYFUNCTION("""COMPUTED_VALUE"""),"B0455")</f>
        <v>B0455</v>
      </c>
      <c r="B243" s="3" t="str">
        <f ca="1">IFERROR(__xludf.DUMMYFUNCTION("""COMPUTED_VALUE"""),"比翼生醫")</f>
        <v>比翼生醫</v>
      </c>
      <c r="C243" s="3"/>
      <c r="D243" s="3"/>
      <c r="E243" s="3"/>
    </row>
    <row r="244" spans="1:5" x14ac:dyDescent="0.25">
      <c r="A244" s="2" t="str">
        <f ca="1">IFERROR(__xludf.DUMMYFUNCTION("""COMPUTED_VALUE"""),"B0462")</f>
        <v>B0462</v>
      </c>
      <c r="B244" s="3" t="str">
        <f ca="1">IFERROR(__xludf.DUMMYFUNCTION("""COMPUTED_VALUE"""),"Mosaic Venture Lab 宇斻管理顧問股份有限公司")</f>
        <v>Mosaic Venture Lab 宇斻管理顧問股份有限公司</v>
      </c>
      <c r="C244" s="3"/>
      <c r="D244" s="3"/>
      <c r="E244" s="3"/>
    </row>
    <row r="245" spans="1:5" x14ac:dyDescent="0.25">
      <c r="A245" s="2" t="str">
        <f ca="1">IFERROR(__xludf.DUMMYFUNCTION("""COMPUTED_VALUE"""),"B0467")</f>
        <v>B0467</v>
      </c>
      <c r="B245" s="3" t="str">
        <f ca="1">IFERROR(__xludf.DUMMYFUNCTION("""COMPUTED_VALUE"""),"SparkLabs Taiwan 斯伯克國際創業投資有限公司")</f>
        <v>SparkLabs Taiwan 斯伯克國際創業投資有限公司</v>
      </c>
      <c r="C245" s="3"/>
      <c r="D245" s="3"/>
      <c r="E245" s="3"/>
    </row>
    <row r="246" spans="1:5" x14ac:dyDescent="0.25">
      <c r="A246" s="2" t="str">
        <f ca="1">IFERROR(__xludf.DUMMYFUNCTION("""COMPUTED_VALUE"""),"B0479")</f>
        <v>B0479</v>
      </c>
      <c r="B246" s="3" t="str">
        <f ca="1">IFERROR(__xludf.DUMMYFUNCTION("""COMPUTED_VALUE"""),"SparkLabs Taiwan 斯伯克國際創業投資有限公司")</f>
        <v>SparkLabs Taiwan 斯伯克國際創業投資有限公司</v>
      </c>
      <c r="C246" s="3"/>
      <c r="D246" s="3"/>
      <c r="E246" s="3"/>
    </row>
    <row r="247" spans="1:5" x14ac:dyDescent="0.25">
      <c r="A247" s="2" t="str">
        <f ca="1">IFERROR(__xludf.DUMMYFUNCTION("""COMPUTED_VALUE"""),"B0482")</f>
        <v>B0482</v>
      </c>
      <c r="B247" s="3" t="str">
        <f ca="1">IFERROR(__xludf.DUMMYFUNCTION("""COMPUTED_VALUE"""),"SparkLabs Taiwan 斯伯克國際創業投資有限公司")</f>
        <v>SparkLabs Taiwan 斯伯克國際創業投資有限公司</v>
      </c>
      <c r="C247" s="3"/>
      <c r="D247" s="3"/>
      <c r="E247" s="3"/>
    </row>
    <row r="248" spans="1:5" x14ac:dyDescent="0.25">
      <c r="A248" s="2" t="str">
        <f ca="1">IFERROR(__xludf.DUMMYFUNCTION("""COMPUTED_VALUE"""),"B0485")</f>
        <v>B0485</v>
      </c>
      <c r="B248" s="3" t="str">
        <f ca="1">IFERROR(__xludf.DUMMYFUNCTION("""COMPUTED_VALUE"""),"SparkLabs Taiwan 斯伯克國際創業投資有限公司")</f>
        <v>SparkLabs Taiwan 斯伯克國際創業投資有限公司</v>
      </c>
      <c r="C248" s="3"/>
      <c r="D248" s="3"/>
      <c r="E248" s="3"/>
    </row>
    <row r="249" spans="1:5" x14ac:dyDescent="0.25">
      <c r="A249" s="2" t="str">
        <f ca="1">IFERROR(__xludf.DUMMYFUNCTION("""COMPUTED_VALUE"""),"B0486")</f>
        <v>B0486</v>
      </c>
      <c r="B249" s="3" t="str">
        <f ca="1">IFERROR(__xludf.DUMMYFUNCTION("""COMPUTED_VALUE"""),"Garage+")</f>
        <v>Garage+</v>
      </c>
      <c r="C249" s="3"/>
      <c r="D249" s="3"/>
      <c r="E249" s="3"/>
    </row>
    <row r="250" spans="1:5" x14ac:dyDescent="0.25">
      <c r="A250" s="2" t="str">
        <f ca="1">IFERROR(__xludf.DUMMYFUNCTION("""COMPUTED_VALUE"""),"B0490")</f>
        <v>B0490</v>
      </c>
      <c r="B250" s="3" t="str">
        <f ca="1">IFERROR(__xludf.DUMMYFUNCTION("""COMPUTED_VALUE"""),"遠邦國際品牌CrossBond")</f>
        <v>遠邦國際品牌CrossBond</v>
      </c>
      <c r="C250" s="3"/>
      <c r="D250" s="3"/>
      <c r="E250" s="3"/>
    </row>
    <row r="251" spans="1:5" x14ac:dyDescent="0.25">
      <c r="A251" s="2" t="str">
        <f ca="1">IFERROR(__xludf.DUMMYFUNCTION("""COMPUTED_VALUE"""),"B0492")</f>
        <v>B0492</v>
      </c>
      <c r="B251" s="3" t="str">
        <f ca="1">IFERROR(__xludf.DUMMYFUNCTION("""COMPUTED_VALUE"""),"Garage+")</f>
        <v>Garage+</v>
      </c>
      <c r="C251" s="3"/>
      <c r="D251" s="3"/>
      <c r="E251" s="3"/>
    </row>
    <row r="252" spans="1:5" x14ac:dyDescent="0.25">
      <c r="A252" s="2" t="str">
        <f ca="1">IFERROR(__xludf.DUMMYFUNCTION("""COMPUTED_VALUE"""),"B0517")</f>
        <v>B0517</v>
      </c>
      <c r="B252" s="3" t="str">
        <f ca="1">IFERROR(__xludf.DUMMYFUNCTION("""COMPUTED_VALUE"""),"資育股份有限公司")</f>
        <v>資育股份有限公司</v>
      </c>
      <c r="C252" s="3"/>
      <c r="D252" s="3"/>
      <c r="E252" s="3"/>
    </row>
    <row r="253" spans="1:5" x14ac:dyDescent="0.25">
      <c r="A253" s="2" t="str">
        <f ca="1">IFERROR(__xludf.DUMMYFUNCTION("""COMPUTED_VALUE"""),"B0533")</f>
        <v>B0533</v>
      </c>
      <c r="B253" s="3" t="str">
        <f ca="1">IFERROR(__xludf.DUMMYFUNCTION("""COMPUTED_VALUE"""),"SparkLabs Taiwan 斯伯克國際創業投資有限公司")</f>
        <v>SparkLabs Taiwan 斯伯克國際創業投資有限公司</v>
      </c>
      <c r="C253" s="3"/>
      <c r="D253" s="3"/>
      <c r="E253" s="3"/>
    </row>
    <row r="254" spans="1:5" x14ac:dyDescent="0.25">
      <c r="A254" s="2" t="str">
        <f ca="1">IFERROR(__xludf.DUMMYFUNCTION("""COMPUTED_VALUE"""),"B0534")</f>
        <v>B0534</v>
      </c>
      <c r="B254" s="3" t="str">
        <f ca="1">IFERROR(__xludf.DUMMYFUNCTION("""COMPUTED_VALUE"""),"扶田資本股份有限公司")</f>
        <v>扶田資本股份有限公司</v>
      </c>
      <c r="C254" s="3"/>
      <c r="D254" s="3"/>
      <c r="E254" s="3"/>
    </row>
    <row r="255" spans="1:5" x14ac:dyDescent="0.25">
      <c r="A255" s="2" t="str">
        <f ca="1">IFERROR(__xludf.DUMMYFUNCTION("""COMPUTED_VALUE"""),"B0535")</f>
        <v>B0535</v>
      </c>
      <c r="B255" s="3" t="str">
        <f ca="1">IFERROR(__xludf.DUMMYFUNCTION("""COMPUTED_VALUE"""),"聯合創新加速器")</f>
        <v>聯合創新加速器</v>
      </c>
      <c r="C255" s="3"/>
      <c r="D255" s="3"/>
      <c r="E255" s="3"/>
    </row>
    <row r="256" spans="1:5" x14ac:dyDescent="0.25">
      <c r="A256" s="2" t="str">
        <f ca="1">IFERROR(__xludf.DUMMYFUNCTION("""COMPUTED_VALUE"""),"B0536")</f>
        <v>B0536</v>
      </c>
      <c r="B256" s="3" t="str">
        <f ca="1">IFERROR(__xludf.DUMMYFUNCTION("""COMPUTED_VALUE"""),"比翼生醫")</f>
        <v>比翼生醫</v>
      </c>
      <c r="C256" s="3"/>
      <c r="D256" s="3"/>
      <c r="E256" s="3"/>
    </row>
    <row r="257" spans="1:5" x14ac:dyDescent="0.25">
      <c r="A257" s="2" t="str">
        <f ca="1">IFERROR(__xludf.DUMMYFUNCTION("""COMPUTED_VALUE"""),"B0540")</f>
        <v>B0540</v>
      </c>
      <c r="B257" s="3" t="str">
        <f ca="1">IFERROR(__xludf.DUMMYFUNCTION("""COMPUTED_VALUE"""),"資誠聯合會計師事務所")</f>
        <v>資誠聯合會計師事務所</v>
      </c>
      <c r="C257" s="3"/>
      <c r="D257" s="3"/>
      <c r="E257" s="3"/>
    </row>
    <row r="258" spans="1:5" x14ac:dyDescent="0.25">
      <c r="A258" s="2" t="str">
        <f ca="1">IFERROR(__xludf.DUMMYFUNCTION("""COMPUTED_VALUE"""),"B0565")</f>
        <v>B0565</v>
      </c>
      <c r="B258" s="3" t="str">
        <f ca="1">IFERROR(__xludf.DUMMYFUNCTION("""COMPUTED_VALUE"""),"安永聯合會計師事務所")</f>
        <v>安永聯合會計師事務所</v>
      </c>
      <c r="C258" s="3"/>
      <c r="D258" s="3"/>
      <c r="E258" s="3"/>
    </row>
    <row r="259" spans="1:5" x14ac:dyDescent="0.25">
      <c r="A259" s="2" t="str">
        <f ca="1">IFERROR(__xludf.DUMMYFUNCTION("""COMPUTED_VALUE"""),"B0567")</f>
        <v>B0567</v>
      </c>
      <c r="B259" s="3" t="str">
        <f ca="1">IFERROR(__xludf.DUMMYFUNCTION("""COMPUTED_VALUE"""),"SparkLabs Taiwan 斯伯克國際創業投資有限公司")</f>
        <v>SparkLabs Taiwan 斯伯克國際創業投資有限公司</v>
      </c>
      <c r="C259" s="3"/>
      <c r="D259" s="3"/>
      <c r="E259" s="3"/>
    </row>
    <row r="260" spans="1:5" x14ac:dyDescent="0.25">
      <c r="A260" s="2" t="str">
        <f ca="1">IFERROR(__xludf.DUMMYFUNCTION("""COMPUTED_VALUE"""),"B0583")</f>
        <v>B0583</v>
      </c>
      <c r="B260" s="3" t="str">
        <f ca="1">IFERROR(__xludf.DUMMYFUNCTION("""COMPUTED_VALUE"""),"安永聯合會計師事務所")</f>
        <v>安永聯合會計師事務所</v>
      </c>
      <c r="C260" s="3"/>
      <c r="D260" s="3"/>
      <c r="E260" s="3"/>
    </row>
    <row r="261" spans="1:5" x14ac:dyDescent="0.25">
      <c r="A261" s="2" t="str">
        <f ca="1">IFERROR(__xludf.DUMMYFUNCTION("""COMPUTED_VALUE"""),"B0604")</f>
        <v>B0604</v>
      </c>
      <c r="B261" s="3" t="str">
        <f ca="1">IFERROR(__xludf.DUMMYFUNCTION("""COMPUTED_VALUE"""),"資誠聯合會計師事務所")</f>
        <v>資誠聯合會計師事務所</v>
      </c>
      <c r="C261" s="3"/>
      <c r="D261" s="3"/>
      <c r="E261" s="3"/>
    </row>
    <row r="262" spans="1:5" x14ac:dyDescent="0.25">
      <c r="A262" s="2" t="str">
        <f ca="1">IFERROR(__xludf.DUMMYFUNCTION("""COMPUTED_VALUE"""),"B0606")</f>
        <v>B0606</v>
      </c>
      <c r="B262" s="3" t="str">
        <f ca="1">IFERROR(__xludf.DUMMYFUNCTION("""COMPUTED_VALUE"""),"SparkLabs Taiwan 斯伯克國際創業投資有限公司")</f>
        <v>SparkLabs Taiwan 斯伯克國際創業投資有限公司</v>
      </c>
      <c r="C262" s="3"/>
      <c r="D262" s="3"/>
      <c r="E262" s="3"/>
    </row>
    <row r="263" spans="1:5" x14ac:dyDescent="0.25">
      <c r="A263" s="2" t="str">
        <f ca="1">IFERROR(__xludf.DUMMYFUNCTION("""COMPUTED_VALUE"""),"B0607")</f>
        <v>B0607</v>
      </c>
      <c r="B263" s="3" t="str">
        <f ca="1">IFERROR(__xludf.DUMMYFUNCTION("""COMPUTED_VALUE"""),"扶田資本股份有限公司")</f>
        <v>扶田資本股份有限公司</v>
      </c>
      <c r="C263" s="3"/>
      <c r="D263" s="3"/>
      <c r="E263" s="3"/>
    </row>
    <row r="264" spans="1:5" x14ac:dyDescent="0.25">
      <c r="A264" s="2" t="str">
        <f ca="1">IFERROR(__xludf.DUMMYFUNCTION("""COMPUTED_VALUE"""),"B0618")</f>
        <v>B0618</v>
      </c>
      <c r="B264" s="3" t="str">
        <f ca="1">IFERROR(__xludf.DUMMYFUNCTION("""COMPUTED_VALUE"""),"好食好事加速器")</f>
        <v>好食好事加速器</v>
      </c>
      <c r="C264" s="3"/>
      <c r="D264" s="3"/>
      <c r="E264" s="3"/>
    </row>
    <row r="265" spans="1:5" x14ac:dyDescent="0.25">
      <c r="A265" s="2" t="str">
        <f ca="1">IFERROR(__xludf.DUMMYFUNCTION("""COMPUTED_VALUE"""),"B0619")</f>
        <v>B0619</v>
      </c>
      <c r="B265" s="3" t="str">
        <f ca="1">IFERROR(__xludf.DUMMYFUNCTION("""COMPUTED_VALUE"""),"酷日國際有限公司")</f>
        <v>酷日國際有限公司</v>
      </c>
      <c r="C265" s="3"/>
      <c r="D265" s="3"/>
      <c r="E265" s="3"/>
    </row>
    <row r="266" spans="1:5" x14ac:dyDescent="0.25">
      <c r="A266" s="2" t="str">
        <f ca="1">IFERROR(__xludf.DUMMYFUNCTION("""COMPUTED_VALUE"""),"B0651")</f>
        <v>B0651</v>
      </c>
      <c r="B266" s="3" t="str">
        <f ca="1">IFERROR(__xludf.DUMMYFUNCTION("""COMPUTED_VALUE"""),"台灣智慧雲端服務股份有限公司（台智雲）")</f>
        <v>台灣智慧雲端服務股份有限公司（台智雲）</v>
      </c>
      <c r="C266" s="3"/>
      <c r="D266" s="3"/>
      <c r="E266" s="3"/>
    </row>
    <row r="267" spans="1:5" x14ac:dyDescent="0.25">
      <c r="A267" s="2" t="str">
        <f ca="1">IFERROR(__xludf.DUMMYFUNCTION("""COMPUTED_VALUE"""),"B0652")</f>
        <v>B0652</v>
      </c>
      <c r="B267" s="3" t="str">
        <f ca="1">IFERROR(__xludf.DUMMYFUNCTION("""COMPUTED_VALUE"""),"尚未報名/媒合中")</f>
        <v>尚未報名/媒合中</v>
      </c>
      <c r="C267" s="3"/>
      <c r="D267" s="3"/>
      <c r="E267" s="3"/>
    </row>
    <row r="268" spans="1:5" x14ac:dyDescent="0.25">
      <c r="A268" s="2" t="str">
        <f ca="1">IFERROR(__xludf.DUMMYFUNCTION("""COMPUTED_VALUE"""),"B0653")</f>
        <v>B0653</v>
      </c>
      <c r="B268" s="3" t="str">
        <f ca="1">IFERROR(__xludf.DUMMYFUNCTION("""COMPUTED_VALUE"""),"SparkLabs Taiwan 斯伯克國際創業投資有限公司")</f>
        <v>SparkLabs Taiwan 斯伯克國際創業投資有限公司</v>
      </c>
      <c r="C268" s="3"/>
      <c r="D268" s="3"/>
      <c r="E268" s="3"/>
    </row>
    <row r="269" spans="1:5" x14ac:dyDescent="0.25">
      <c r="A269" s="2" t="str">
        <f ca="1">IFERROR(__xludf.DUMMYFUNCTION("""COMPUTED_VALUE"""),"B0672")</f>
        <v>B0672</v>
      </c>
      <c r="B269" s="3" t="str">
        <f ca="1">IFERROR(__xludf.DUMMYFUNCTION("""COMPUTED_VALUE"""),"台灣智慧雲端服務股份有限公司（台智雲）")</f>
        <v>台灣智慧雲端服務股份有限公司（台智雲）</v>
      </c>
      <c r="C269" s="3"/>
      <c r="D269" s="3"/>
      <c r="E269" s="3"/>
    </row>
    <row r="270" spans="1:5" x14ac:dyDescent="0.25">
      <c r="A270" s="2" t="str">
        <f ca="1">IFERROR(__xludf.DUMMYFUNCTION("""COMPUTED_VALUE"""),"B0679")</f>
        <v>B0679</v>
      </c>
      <c r="B270" s="3" t="str">
        <f ca="1">IFERROR(__xludf.DUMMYFUNCTION("""COMPUTED_VALUE"""),"Garage+")</f>
        <v>Garage+</v>
      </c>
      <c r="C270" s="3"/>
      <c r="D270" s="3"/>
      <c r="E270" s="3"/>
    </row>
    <row r="271" spans="1:5" x14ac:dyDescent="0.25">
      <c r="A271" s="2" t="str">
        <f ca="1">IFERROR(__xludf.DUMMYFUNCTION("""COMPUTED_VALUE"""),"B0703")</f>
        <v>B0703</v>
      </c>
      <c r="B271" s="3" t="str">
        <f ca="1">IFERROR(__xludf.DUMMYFUNCTION("""COMPUTED_VALUE"""),"SparkLabs Taiwan 斯伯克國際創業投資有限公司")</f>
        <v>SparkLabs Taiwan 斯伯克國際創業投資有限公司</v>
      </c>
      <c r="C271" s="3"/>
      <c r="D271" s="3"/>
      <c r="E271" s="3"/>
    </row>
    <row r="272" spans="1:5" x14ac:dyDescent="0.25">
      <c r="A272" s="2" t="str">
        <f ca="1">IFERROR(__xludf.DUMMYFUNCTION("""COMPUTED_VALUE"""),"B0709")</f>
        <v>B0709</v>
      </c>
      <c r="B272" s="3" t="str">
        <f ca="1">IFERROR(__xludf.DUMMYFUNCTION("""COMPUTED_VALUE"""),"安永聯合會計師事務所")</f>
        <v>安永聯合會計師事務所</v>
      </c>
      <c r="C272" s="3"/>
      <c r="D272" s="3"/>
      <c r="E272" s="3"/>
    </row>
    <row r="273" spans="1:5" x14ac:dyDescent="0.25">
      <c r="A273" s="2" t="str">
        <f ca="1">IFERROR(__xludf.DUMMYFUNCTION("""COMPUTED_VALUE"""),"B0718")</f>
        <v>B0718</v>
      </c>
      <c r="B273" s="3" t="str">
        <f ca="1">IFERROR(__xludf.DUMMYFUNCTION("""COMPUTED_VALUE"""),"遠邦國際品牌CrossBond")</f>
        <v>遠邦國際品牌CrossBond</v>
      </c>
      <c r="C273" s="3"/>
      <c r="D273" s="3"/>
      <c r="E273" s="3"/>
    </row>
    <row r="274" spans="1:5" x14ac:dyDescent="0.25">
      <c r="A274" s="2" t="str">
        <f ca="1">IFERROR(__xludf.DUMMYFUNCTION("""COMPUTED_VALUE"""),"B0735")</f>
        <v>B0735</v>
      </c>
      <c r="B274" s="3" t="str">
        <f ca="1">IFERROR(__xludf.DUMMYFUNCTION("""COMPUTED_VALUE"""),"Mighty Net(邁特創新基地)")</f>
        <v>Mighty Net(邁特創新基地)</v>
      </c>
      <c r="C274" s="3"/>
      <c r="D274" s="3"/>
      <c r="E274" s="3"/>
    </row>
    <row r="275" spans="1:5" x14ac:dyDescent="0.25">
      <c r="A275" s="2" t="str">
        <f ca="1">IFERROR(__xludf.DUMMYFUNCTION("""COMPUTED_VALUE"""),"B0768")</f>
        <v>B0768</v>
      </c>
      <c r="B275" s="3" t="str">
        <f ca="1">IFERROR(__xludf.DUMMYFUNCTION("""COMPUTED_VALUE"""),"Muse Builder")</f>
        <v>Muse Builder</v>
      </c>
      <c r="C275" s="3"/>
      <c r="D275" s="3"/>
      <c r="E275" s="3"/>
    </row>
    <row r="276" spans="1:5" x14ac:dyDescent="0.25">
      <c r="A276" s="2" t="str">
        <f ca="1">IFERROR(__xludf.DUMMYFUNCTION("""COMPUTED_VALUE"""),"B0788")</f>
        <v>B0788</v>
      </c>
      <c r="B276" s="3" t="str">
        <f ca="1">IFERROR(__xludf.DUMMYFUNCTION("""COMPUTED_VALUE"""),"聯合創新加速器")</f>
        <v>聯合創新加速器</v>
      </c>
      <c r="C276" s="3"/>
      <c r="D276" s="3"/>
      <c r="E276" s="3"/>
    </row>
    <row r="277" spans="1:5" x14ac:dyDescent="0.25">
      <c r="A277" s="2" t="str">
        <f ca="1">IFERROR(__xludf.DUMMYFUNCTION("""COMPUTED_VALUE"""),"B0824")</f>
        <v>B0824</v>
      </c>
      <c r="B277" s="3" t="str">
        <f ca="1">IFERROR(__xludf.DUMMYFUNCTION("""COMPUTED_VALUE"""),"好食好事加速器")</f>
        <v>好食好事加速器</v>
      </c>
      <c r="C277" s="3"/>
      <c r="D277" s="3"/>
      <c r="E277" s="3"/>
    </row>
    <row r="278" spans="1:5" x14ac:dyDescent="0.25">
      <c r="A278" s="2" t="str">
        <f ca="1">IFERROR(__xludf.DUMMYFUNCTION("""COMPUTED_VALUE"""),"B0852")</f>
        <v>B0852</v>
      </c>
      <c r="B278" s="3" t="str">
        <f ca="1">IFERROR(__xludf.DUMMYFUNCTION("""COMPUTED_VALUE"""),"好食好事加速器")</f>
        <v>好食好事加速器</v>
      </c>
      <c r="C278" s="3"/>
      <c r="D278" s="3"/>
      <c r="E278" s="3"/>
    </row>
    <row r="279" spans="1:5" x14ac:dyDescent="0.25">
      <c r="A279" s="2" t="str">
        <f ca="1">IFERROR(__xludf.DUMMYFUNCTION("""COMPUTED_VALUE"""),"B0901")</f>
        <v>B0901</v>
      </c>
      <c r="B279" s="3" t="str">
        <f ca="1">IFERROR(__xludf.DUMMYFUNCTION("""COMPUTED_VALUE"""),"台灣智慧雲端服務股份有限公司（台智雲）")</f>
        <v>台灣智慧雲端服務股份有限公司（台智雲）</v>
      </c>
      <c r="C279" s="3"/>
      <c r="D279" s="3"/>
      <c r="E279" s="3"/>
    </row>
    <row r="280" spans="1:5" x14ac:dyDescent="0.25">
      <c r="A280" s="2" t="str">
        <f ca="1">IFERROR(__xludf.DUMMYFUNCTION("""COMPUTED_VALUE"""),"B0905")</f>
        <v>B0905</v>
      </c>
      <c r="B280" s="3" t="str">
        <f ca="1">IFERROR(__xludf.DUMMYFUNCTION("""COMPUTED_VALUE"""),"安永聯合會計師事務所")</f>
        <v>安永聯合會計師事務所</v>
      </c>
      <c r="C280" s="3"/>
      <c r="D280" s="3"/>
      <c r="E280" s="3"/>
    </row>
    <row r="281" spans="1:5" x14ac:dyDescent="0.25">
      <c r="A281" s="2" t="str">
        <f ca="1">IFERROR(__xludf.DUMMYFUNCTION("""COMPUTED_VALUE"""),"B0911")</f>
        <v>B0911</v>
      </c>
      <c r="B281" s="3" t="str">
        <f ca="1">IFERROR(__xludf.DUMMYFUNCTION("""COMPUTED_VALUE"""),"比翼生醫")</f>
        <v>比翼生醫</v>
      </c>
      <c r="C281" s="3"/>
      <c r="D281" s="3"/>
      <c r="E281" s="3"/>
    </row>
    <row r="282" spans="1:5" x14ac:dyDescent="0.25">
      <c r="A282" s="2" t="str">
        <f ca="1">IFERROR(__xludf.DUMMYFUNCTION("""COMPUTED_VALUE"""),"B0914")</f>
        <v>B0914</v>
      </c>
      <c r="B282" s="3" t="str">
        <f ca="1">IFERROR(__xludf.DUMMYFUNCTION("""COMPUTED_VALUE"""),"生物技術開發中心(南港生技育成中心)")</f>
        <v>生物技術開發中心(南港生技育成中心)</v>
      </c>
      <c r="C282" s="3"/>
      <c r="D282" s="3"/>
      <c r="E282" s="3"/>
    </row>
    <row r="283" spans="1:5" x14ac:dyDescent="0.25">
      <c r="A283" s="2" t="str">
        <f ca="1">IFERROR(__xludf.DUMMYFUNCTION("""COMPUTED_VALUE"""),"B0926")</f>
        <v>B0926</v>
      </c>
      <c r="B283" s="3" t="str">
        <f ca="1">IFERROR(__xludf.DUMMYFUNCTION("""COMPUTED_VALUE"""),"SparkLabs Taiwan 斯伯克國際創業投資有限公司")</f>
        <v>SparkLabs Taiwan 斯伯克國際創業投資有限公司</v>
      </c>
      <c r="C283" s="3"/>
      <c r="D283" s="3"/>
      <c r="E283" s="3"/>
    </row>
    <row r="284" spans="1:5" x14ac:dyDescent="0.25">
      <c r="A284" s="2" t="str">
        <f ca="1">IFERROR(__xludf.DUMMYFUNCTION("""COMPUTED_VALUE"""),"B0935")</f>
        <v>B0935</v>
      </c>
      <c r="B284" s="3" t="str">
        <f ca="1">IFERROR(__xludf.DUMMYFUNCTION("""COMPUTED_VALUE"""),"比翼生醫")</f>
        <v>比翼生醫</v>
      </c>
      <c r="C284" s="3"/>
      <c r="D284" s="3"/>
      <c r="E284" s="3"/>
    </row>
    <row r="285" spans="1:5" x14ac:dyDescent="0.25">
      <c r="A285" s="2" t="str">
        <f ca="1">IFERROR(__xludf.DUMMYFUNCTION("""COMPUTED_VALUE"""),"B0943")</f>
        <v>B0943</v>
      </c>
      <c r="B285" s="3" t="str">
        <f ca="1">IFERROR(__xludf.DUMMYFUNCTION("""COMPUTED_VALUE"""),"酷日國際有限公司")</f>
        <v>酷日國際有限公司</v>
      </c>
      <c r="C285" s="3"/>
      <c r="D285" s="3"/>
      <c r="E285" s="3"/>
    </row>
    <row r="286" spans="1:5" x14ac:dyDescent="0.25">
      <c r="A286" s="2" t="str">
        <f ca="1">IFERROR(__xludf.DUMMYFUNCTION("""COMPUTED_VALUE"""),"B0962")</f>
        <v>B0962</v>
      </c>
      <c r="B286" s="3" t="str">
        <f ca="1">IFERROR(__xludf.DUMMYFUNCTION("""COMPUTED_VALUE"""),"資誠聯合會計師事務所")</f>
        <v>資誠聯合會計師事務所</v>
      </c>
      <c r="C286" s="3"/>
      <c r="D286" s="3"/>
      <c r="E286" s="3"/>
    </row>
    <row r="287" spans="1:5" x14ac:dyDescent="0.25">
      <c r="A287" s="2" t="str">
        <f ca="1">IFERROR(__xludf.DUMMYFUNCTION("""COMPUTED_VALUE"""),"B0973")</f>
        <v>B0973</v>
      </c>
      <c r="B287" s="3" t="str">
        <f ca="1">IFERROR(__xludf.DUMMYFUNCTION("""COMPUTED_VALUE"""),"SparkLabs Taiwan 斯伯克國際創業投資有限公司")</f>
        <v>SparkLabs Taiwan 斯伯克國際創業投資有限公司</v>
      </c>
      <c r="C287" s="3"/>
      <c r="D287" s="3"/>
      <c r="E287" s="3"/>
    </row>
    <row r="288" spans="1:5" x14ac:dyDescent="0.25">
      <c r="A288" s="2" t="str">
        <f ca="1">IFERROR(__xludf.DUMMYFUNCTION("""COMPUTED_VALUE"""),"B0976")</f>
        <v>B0976</v>
      </c>
      <c r="B288" s="3" t="str">
        <f ca="1">IFERROR(__xludf.DUMMYFUNCTION("""COMPUTED_VALUE"""),"Garage+")</f>
        <v>Garage+</v>
      </c>
      <c r="C288" s="3"/>
      <c r="D288" s="3"/>
      <c r="E288" s="3"/>
    </row>
    <row r="289" spans="1:5" x14ac:dyDescent="0.25">
      <c r="A289" s="2" t="str">
        <f ca="1">IFERROR(__xludf.DUMMYFUNCTION("""COMPUTED_VALUE"""),"B1009")</f>
        <v>B1009</v>
      </c>
      <c r="B289" s="3" t="str">
        <f ca="1">IFERROR(__xludf.DUMMYFUNCTION("""COMPUTED_VALUE"""),"Garage+")</f>
        <v>Garage+</v>
      </c>
      <c r="C289" s="3"/>
      <c r="D289" s="3"/>
      <c r="E289" s="3"/>
    </row>
    <row r="290" spans="1:5" x14ac:dyDescent="0.25">
      <c r="A290" s="2" t="str">
        <f ca="1">IFERROR(__xludf.DUMMYFUNCTION("""COMPUTED_VALUE"""),"B1021")</f>
        <v>B1021</v>
      </c>
      <c r="B290" s="3" t="str">
        <f ca="1">IFERROR(__xludf.DUMMYFUNCTION("""COMPUTED_VALUE"""),"好食好事加速器")</f>
        <v>好食好事加速器</v>
      </c>
      <c r="C290" s="3"/>
      <c r="D290" s="3"/>
      <c r="E290" s="3"/>
    </row>
    <row r="291" spans="1:5" x14ac:dyDescent="0.25">
      <c r="A291" s="2" t="str">
        <f ca="1">IFERROR(__xludf.DUMMYFUNCTION("""COMPUTED_VALUE"""),"B1053")</f>
        <v>B1053</v>
      </c>
      <c r="B291" s="3" t="str">
        <f ca="1">IFERROR(__xludf.DUMMYFUNCTION("""COMPUTED_VALUE"""),"國家衛生研究院/ 創新育成中心")</f>
        <v>國家衛生研究院/ 創新育成中心</v>
      </c>
      <c r="C291" s="3"/>
      <c r="D291" s="3"/>
      <c r="E291" s="3"/>
    </row>
    <row r="292" spans="1:5" x14ac:dyDescent="0.25">
      <c r="A292" s="2" t="str">
        <f ca="1">IFERROR(__xludf.DUMMYFUNCTION("""COMPUTED_VALUE"""),"B1063")</f>
        <v>B1063</v>
      </c>
      <c r="B292" s="3" t="str">
        <f ca="1">IFERROR(__xludf.DUMMYFUNCTION("""COMPUTED_VALUE"""),"SparkLabs Taiwan 斯伯克國際創業投資有限公司")</f>
        <v>SparkLabs Taiwan 斯伯克國際創業投資有限公司</v>
      </c>
      <c r="C292" s="3"/>
      <c r="D292" s="3"/>
      <c r="E292" s="3"/>
    </row>
    <row r="293" spans="1:5" x14ac:dyDescent="0.25">
      <c r="A293" s="2" t="str">
        <f ca="1">IFERROR(__xludf.DUMMYFUNCTION("""COMPUTED_VALUE"""),"B1085")</f>
        <v>B1085</v>
      </c>
      <c r="B293" s="3" t="str">
        <f ca="1">IFERROR(__xludf.DUMMYFUNCTION("""COMPUTED_VALUE"""),"SparkLabs Taiwan 斯伯克國際創業投資有限公司")</f>
        <v>SparkLabs Taiwan 斯伯克國際創業投資有限公司</v>
      </c>
      <c r="C293" s="3"/>
      <c r="D293" s="3"/>
      <c r="E293" s="3"/>
    </row>
    <row r="294" spans="1:5" x14ac:dyDescent="0.25">
      <c r="A294" s="2" t="str">
        <f ca="1">IFERROR(__xludf.DUMMYFUNCTION("""COMPUTED_VALUE"""),"B1102")</f>
        <v>B1102</v>
      </c>
      <c r="B294" s="3" t="str">
        <f ca="1">IFERROR(__xludf.DUMMYFUNCTION("""COMPUTED_VALUE"""),"SparkLabs Taiwan 斯伯克國際創業投資有限公司")</f>
        <v>SparkLabs Taiwan 斯伯克國際創業投資有限公司</v>
      </c>
      <c r="C294" s="3"/>
      <c r="D294" s="3"/>
      <c r="E294" s="3"/>
    </row>
    <row r="295" spans="1:5" x14ac:dyDescent="0.25">
      <c r="A295" s="2" t="str">
        <f ca="1">IFERROR(__xludf.DUMMYFUNCTION("""COMPUTED_VALUE"""),"B1120")</f>
        <v>B1120</v>
      </c>
      <c r="B295" s="3" t="str">
        <f ca="1">IFERROR(__xludf.DUMMYFUNCTION("""COMPUTED_VALUE"""),"Garage+")</f>
        <v>Garage+</v>
      </c>
      <c r="C295" s="3"/>
      <c r="D295" s="3"/>
      <c r="E295" s="3"/>
    </row>
    <row r="296" spans="1:5" x14ac:dyDescent="0.25">
      <c r="A296" s="2" t="str">
        <f ca="1">IFERROR(__xludf.DUMMYFUNCTION("""COMPUTED_VALUE"""),"B1133")</f>
        <v>B1133</v>
      </c>
      <c r="B296" s="3" t="str">
        <f ca="1">IFERROR(__xludf.DUMMYFUNCTION("""COMPUTED_VALUE"""),"StarFab (豪覓管理顧問股份有限公司)")</f>
        <v>StarFab (豪覓管理顧問股份有限公司)</v>
      </c>
      <c r="C296" s="3"/>
      <c r="D296" s="3"/>
      <c r="E296" s="3"/>
    </row>
    <row r="297" spans="1:5" x14ac:dyDescent="0.25">
      <c r="A297" s="2" t="str">
        <f ca="1">IFERROR(__xludf.DUMMYFUNCTION("""COMPUTED_VALUE"""),"B1189")</f>
        <v>B1189</v>
      </c>
      <c r="B297" s="3" t="str">
        <f ca="1">IFERROR(__xludf.DUMMYFUNCTION("""COMPUTED_VALUE"""),"SparkLabs Taiwan 斯伯克國際創業投資有限公司")</f>
        <v>SparkLabs Taiwan 斯伯克國際創業投資有限公司</v>
      </c>
      <c r="C297" s="3"/>
      <c r="D297" s="3"/>
      <c r="E297" s="3"/>
    </row>
    <row r="298" spans="1:5" x14ac:dyDescent="0.25">
      <c r="A298" s="2" t="str">
        <f ca="1">IFERROR(__xludf.DUMMYFUNCTION("""COMPUTED_VALUE"""),"B1196")</f>
        <v>B1196</v>
      </c>
      <c r="B298" s="3" t="str">
        <f ca="1">IFERROR(__xludf.DUMMYFUNCTION("""COMPUTED_VALUE"""),"扶田資本股份有限公司")</f>
        <v>扶田資本股份有限公司</v>
      </c>
      <c r="C298" s="3"/>
      <c r="D298" s="3"/>
      <c r="E298" s="3"/>
    </row>
    <row r="299" spans="1:5" x14ac:dyDescent="0.25">
      <c r="A299" s="2" t="str">
        <f ca="1">IFERROR(__xludf.DUMMYFUNCTION("""COMPUTED_VALUE"""),"B1203")</f>
        <v>B1203</v>
      </c>
      <c r="B299" s="3" t="str">
        <f ca="1">IFERROR(__xludf.DUMMYFUNCTION("""COMPUTED_VALUE"""),"尚未報名/媒合中")</f>
        <v>尚未報名/媒合中</v>
      </c>
      <c r="C299" s="3"/>
      <c r="D299" s="3"/>
      <c r="E299" s="3"/>
    </row>
    <row r="300" spans="1:5" x14ac:dyDescent="0.25">
      <c r="A300" s="2" t="str">
        <f ca="1">IFERROR(__xludf.DUMMYFUNCTION("""COMPUTED_VALUE"""),"B1207")</f>
        <v>B1207</v>
      </c>
      <c r="B300" s="3" t="str">
        <f ca="1">IFERROR(__xludf.DUMMYFUNCTION("""COMPUTED_VALUE"""),"遠邦國際品牌CrossBond")</f>
        <v>遠邦國際品牌CrossBond</v>
      </c>
      <c r="C300" s="3"/>
      <c r="D300" s="3"/>
      <c r="E300" s="3"/>
    </row>
    <row r="301" spans="1:5" x14ac:dyDescent="0.25">
      <c r="A301" s="2" t="str">
        <f ca="1">IFERROR(__xludf.DUMMYFUNCTION("""COMPUTED_VALUE"""),"B1255")</f>
        <v>B1255</v>
      </c>
      <c r="B301" s="3" t="str">
        <f ca="1">IFERROR(__xludf.DUMMYFUNCTION("""COMPUTED_VALUE"""),"酷日國際有限公司")</f>
        <v>酷日國際有限公司</v>
      </c>
      <c r="C301" s="3"/>
      <c r="D301" s="3"/>
      <c r="E301" s="3"/>
    </row>
  </sheetData>
  <autoFilter ref="A1:E301" xr:uid="{00000000-0009-0000-0000-000000000000}"/>
  <phoneticPr fontId="2" type="noConversion"/>
  <dataValidations count="1">
    <dataValidation type="list" allowBlank="1" showErrorMessage="1" sqref="B2:B301" xr:uid="{00000000-0002-0000-0000-000000000000}">
      <formula1>"比翼生醫,台灣智慧雲端服務股份有限公司（台智雲）,生物技術開發中心(南港生技育成中心),好食好事加速器,安永聯合會計師事務所,扶田資本股份有限公司,尚未報名/媒合中,活水影響力投資,國立陽明交通大學產業加速器暨專利開發策略中心,國家衛生研究院/ 創新育成中心,博大國際智權股份有限公司,資育股份有限公司,資誠聯合會計師事務所,遠邦國際品牌CrossBond,酷日國際有限公司,聯合創新加速器,購威經濟股份有限公司(智慧高軟),Garage+,Mighty Net(邁特創新基地),Mosaic Venture "&amp;"Lab 宇斻管理顧問股份有限公司,Muse Builder,SparkLabs Taiwan 斯伯克國際創業投資有限公司,StarFab (豪覓管理顧問股份有限公司)"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3C691-737E-46EA-83D0-277B666DFFE7}">
  <dimension ref="A1:B26"/>
  <sheetViews>
    <sheetView tabSelected="1" workbookViewId="0">
      <selection activeCell="B1" sqref="B1"/>
    </sheetView>
  </sheetViews>
  <sheetFormatPr defaultRowHeight="13.2" x14ac:dyDescent="0.25"/>
  <cols>
    <col min="1" max="1" width="46.33203125" bestFit="1" customWidth="1"/>
    <col min="2" max="2" width="22.44140625" bestFit="1" customWidth="1"/>
    <col min="3" max="3" width="24.88671875" bestFit="1" customWidth="1"/>
    <col min="4" max="4" width="45.109375" bestFit="1" customWidth="1"/>
    <col min="5" max="5" width="13.109375" bestFit="1" customWidth="1"/>
    <col min="6" max="6" width="45.77734375" bestFit="1" customWidth="1"/>
    <col min="7" max="7" width="35.21875" bestFit="1" customWidth="1"/>
    <col min="8" max="8" width="9.109375" bestFit="1" customWidth="1"/>
    <col min="9" max="9" width="40.109375" bestFit="1" customWidth="1"/>
    <col min="10" max="10" width="35.33203125" bestFit="1" customWidth="1"/>
    <col min="11" max="11" width="15.21875" bestFit="1" customWidth="1"/>
    <col min="12" max="13" width="21.44140625" bestFit="1" customWidth="1"/>
    <col min="14" max="14" width="15.88671875" bestFit="1" customWidth="1"/>
    <col min="15" max="15" width="15.21875" bestFit="1" customWidth="1"/>
    <col min="16" max="16" width="46.33203125" bestFit="1" customWidth="1"/>
    <col min="17" max="17" width="28.88671875" bestFit="1" customWidth="1"/>
    <col min="18" max="18" width="25.5546875" bestFit="1" customWidth="1"/>
    <col min="19" max="19" width="17.33203125" bestFit="1" customWidth="1"/>
    <col min="20" max="20" width="21.44140625" bestFit="1" customWidth="1"/>
    <col min="21" max="21" width="24" bestFit="1" customWidth="1"/>
    <col min="22" max="22" width="17.33203125" bestFit="1" customWidth="1"/>
    <col min="23" max="23" width="15.21875" bestFit="1" customWidth="1"/>
    <col min="24" max="24" width="31.21875" bestFit="1" customWidth="1"/>
    <col min="25" max="25" width="6.6640625" bestFit="1" customWidth="1"/>
    <col min="26" max="26" width="5.33203125" bestFit="1" customWidth="1"/>
  </cols>
  <sheetData>
    <row r="1" spans="1:2" x14ac:dyDescent="0.25">
      <c r="A1" s="5" t="s">
        <v>0</v>
      </c>
      <c r="B1" t="s">
        <v>26</v>
      </c>
    </row>
    <row r="2" spans="1:2" x14ac:dyDescent="0.25">
      <c r="A2" s="6" t="s">
        <v>1</v>
      </c>
      <c r="B2" s="7">
        <v>16</v>
      </c>
    </row>
    <row r="3" spans="1:2" x14ac:dyDescent="0.25">
      <c r="A3" s="6" t="s">
        <v>2</v>
      </c>
      <c r="B3" s="7">
        <v>7</v>
      </c>
    </row>
    <row r="4" spans="1:2" x14ac:dyDescent="0.25">
      <c r="A4" s="6" t="s">
        <v>3</v>
      </c>
      <c r="B4" s="7">
        <v>8</v>
      </c>
    </row>
    <row r="5" spans="1:2" x14ac:dyDescent="0.25">
      <c r="A5" s="6" t="s">
        <v>4</v>
      </c>
      <c r="B5" s="7">
        <v>12</v>
      </c>
    </row>
    <row r="6" spans="1:2" x14ac:dyDescent="0.25">
      <c r="A6" s="6" t="s">
        <v>5</v>
      </c>
      <c r="B6" s="7">
        <v>50</v>
      </c>
    </row>
    <row r="7" spans="1:2" x14ac:dyDescent="0.25">
      <c r="A7" s="6" t="s">
        <v>6</v>
      </c>
      <c r="B7" s="7">
        <v>20</v>
      </c>
    </row>
    <row r="8" spans="1:2" x14ac:dyDescent="0.25">
      <c r="A8" s="6" t="s">
        <v>7</v>
      </c>
      <c r="B8" s="7">
        <v>20</v>
      </c>
    </row>
    <row r="9" spans="1:2" x14ac:dyDescent="0.25">
      <c r="A9" s="6" t="s">
        <v>8</v>
      </c>
      <c r="B9" s="7">
        <v>6</v>
      </c>
    </row>
    <row r="10" spans="1:2" x14ac:dyDescent="0.25">
      <c r="A10" s="6" t="s">
        <v>9</v>
      </c>
      <c r="B10" s="7">
        <v>4</v>
      </c>
    </row>
    <row r="11" spans="1:2" x14ac:dyDescent="0.25">
      <c r="A11" s="6" t="s">
        <v>10</v>
      </c>
      <c r="B11" s="7">
        <v>22</v>
      </c>
    </row>
    <row r="12" spans="1:2" x14ac:dyDescent="0.25">
      <c r="A12" s="6" t="s">
        <v>11</v>
      </c>
      <c r="B12" s="7">
        <v>11</v>
      </c>
    </row>
    <row r="13" spans="1:2" x14ac:dyDescent="0.25">
      <c r="A13" s="6" t="s">
        <v>12</v>
      </c>
      <c r="B13" s="7">
        <v>14</v>
      </c>
    </row>
    <row r="14" spans="1:2" x14ac:dyDescent="0.25">
      <c r="A14" s="6" t="s">
        <v>13</v>
      </c>
      <c r="B14" s="7">
        <v>18</v>
      </c>
    </row>
    <row r="15" spans="1:2" x14ac:dyDescent="0.25">
      <c r="A15" s="6" t="s">
        <v>14</v>
      </c>
      <c r="B15" s="7">
        <v>3</v>
      </c>
    </row>
    <row r="16" spans="1:2" x14ac:dyDescent="0.25">
      <c r="A16" s="6" t="s">
        <v>15</v>
      </c>
      <c r="B16" s="7">
        <v>9</v>
      </c>
    </row>
    <row r="17" spans="1:2" x14ac:dyDescent="0.25">
      <c r="A17" s="6" t="s">
        <v>16</v>
      </c>
      <c r="B17" s="7">
        <v>7</v>
      </c>
    </row>
    <row r="18" spans="1:2" x14ac:dyDescent="0.25">
      <c r="A18" s="6" t="s">
        <v>17</v>
      </c>
      <c r="B18" s="7">
        <v>2</v>
      </c>
    </row>
    <row r="19" spans="1:2" x14ac:dyDescent="0.25">
      <c r="A19" s="6" t="s">
        <v>18</v>
      </c>
      <c r="B19" s="7">
        <v>10</v>
      </c>
    </row>
    <row r="20" spans="1:2" x14ac:dyDescent="0.25">
      <c r="A20" s="6" t="s">
        <v>19</v>
      </c>
      <c r="B20" s="7">
        <v>21</v>
      </c>
    </row>
    <row r="21" spans="1:2" x14ac:dyDescent="0.25">
      <c r="A21" s="6" t="s">
        <v>20</v>
      </c>
      <c r="B21" s="7">
        <v>6</v>
      </c>
    </row>
    <row r="22" spans="1:2" x14ac:dyDescent="0.25">
      <c r="A22" s="6" t="s">
        <v>21</v>
      </c>
      <c r="B22" s="7">
        <v>12</v>
      </c>
    </row>
    <row r="23" spans="1:2" x14ac:dyDescent="0.25">
      <c r="A23" s="6" t="s">
        <v>22</v>
      </c>
      <c r="B23" s="7">
        <v>16</v>
      </c>
    </row>
    <row r="24" spans="1:2" x14ac:dyDescent="0.25">
      <c r="A24" s="6" t="s">
        <v>23</v>
      </c>
      <c r="B24" s="7">
        <v>6</v>
      </c>
    </row>
    <row r="25" spans="1:2" x14ac:dyDescent="0.25">
      <c r="A25" s="6" t="s">
        <v>24</v>
      </c>
      <c r="B25" s="7"/>
    </row>
    <row r="26" spans="1:2" x14ac:dyDescent="0.25">
      <c r="A26" s="6" t="s">
        <v>25</v>
      </c>
      <c r="B26" s="7">
        <v>300</v>
      </c>
    </row>
  </sheetData>
  <phoneticPr fontId="2" type="noConversion"/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一對一業師輔導媒合結果</vt:lpstr>
      <vt:lpstr>工作表2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bennieliu</cp:lastModifiedBy>
  <dcterms:modified xsi:type="dcterms:W3CDTF">2026-03-19T09:03:10Z</dcterms:modified>
</cp:coreProperties>
</file>