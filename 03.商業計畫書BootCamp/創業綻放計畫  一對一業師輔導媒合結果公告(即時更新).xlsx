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一對一業師輔導媒合結果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41.88"/>
    <col customWidth="1" min="3" max="3" width="21.5"/>
  </cols>
  <sheetData>
    <row r="1">
      <c r="A1" s="1" t="str">
        <f>IFERROR(__xludf.DUMMYFUNCTION("IMPORTRANGE(""https://docs.google.com/spreadsheets/d/1FBBAWrn560jzfU9V46JBe5ienOcijEYKU7hkWfpnKcU/edit?usp=sharing"",""一對一輔導媒合結果(公告版 即時更新)!a:a"")"),"團隊編號")</f>
        <v>團隊編號</v>
      </c>
      <c r="B1" s="1" t="str">
        <f>IFERROR(__xludf.DUMMYFUNCTION("IMPORTRANGE(""https://docs.google.com/spreadsheets/d/1FBBAWrn560jzfU9V46JBe5ienOcijEYKU7hkWfpnKcU/edit?usp=sharing"",""一對一輔導媒合結果(公告版 即時更新)!b:b"")"),"加速器媒合結果")</f>
        <v>加速器媒合結果</v>
      </c>
      <c r="C1" s="1" t="str">
        <f>IFERROR(__xludf.DUMMYFUNCTION("IMPORTRANGE(""https://docs.google.com/spreadsheets/d/1FBBAWrn560jzfU9V46JBe5ienOcijEYKU7hkWfpnKcU/edit?usp=sharing"",""一對一輔導媒合結果(公告版 即時更新)!c:c"")"),"更新時間")</f>
        <v>更新時間</v>
      </c>
    </row>
    <row r="2">
      <c r="A2" s="2" t="str">
        <f>IFERROR(__xludf.DUMMYFUNCTION("""COMPUTED_VALUE"""),"A0002")</f>
        <v>A0002</v>
      </c>
      <c r="B2" s="3"/>
      <c r="C2" s="4" t="str">
        <f>IFERROR(__xludf.DUMMYFUNCTION("""COMPUTED_VALUE"""),"115/03/09 14:06")</f>
        <v>115/03/09 14:06</v>
      </c>
    </row>
    <row r="3">
      <c r="A3" s="2" t="str">
        <f>IFERROR(__xludf.DUMMYFUNCTION("""COMPUTED_VALUE"""),"A0004")</f>
        <v>A0004</v>
      </c>
      <c r="B3" s="3" t="str">
        <f>IFERROR(__xludf.DUMMYFUNCTION("""COMPUTED_VALUE"""),"Garage+")</f>
        <v>Garage+</v>
      </c>
      <c r="C3" s="3"/>
    </row>
    <row r="4">
      <c r="A4" s="2" t="str">
        <f>IFERROR(__xludf.DUMMYFUNCTION("""COMPUTED_VALUE"""),"A0009")</f>
        <v>A0009</v>
      </c>
      <c r="B4" s="3" t="str">
        <f>IFERROR(__xludf.DUMMYFUNCTION("""COMPUTED_VALUE"""),"比翼生醫")</f>
        <v>比翼生醫</v>
      </c>
      <c r="C4" s="3"/>
    </row>
    <row r="5">
      <c r="A5" s="2" t="str">
        <f>IFERROR(__xludf.DUMMYFUNCTION("""COMPUTED_VALUE"""),"A0011")</f>
        <v>A0011</v>
      </c>
      <c r="B5" s="3" t="str">
        <f>IFERROR(__xludf.DUMMYFUNCTION("""COMPUTED_VALUE"""),"聯合創新加速器")</f>
        <v>聯合創新加速器</v>
      </c>
      <c r="C5" s="3"/>
    </row>
    <row r="6">
      <c r="A6" s="2" t="str">
        <f>IFERROR(__xludf.DUMMYFUNCTION("""COMPUTED_VALUE"""),"A0020")</f>
        <v>A0020</v>
      </c>
      <c r="B6" s="3" t="str">
        <f>IFERROR(__xludf.DUMMYFUNCTION("""COMPUTED_VALUE"""),"好食好事加速器")</f>
        <v>好食好事加速器</v>
      </c>
      <c r="C6" s="3"/>
    </row>
    <row r="7">
      <c r="A7" s="2" t="str">
        <f>IFERROR(__xludf.DUMMYFUNCTION("""COMPUTED_VALUE"""),"A0023")</f>
        <v>A0023</v>
      </c>
      <c r="B7" s="3" t="str">
        <f>IFERROR(__xludf.DUMMYFUNCTION("""COMPUTED_VALUE"""),"酷日國際有限公司")</f>
        <v>酷日國際有限公司</v>
      </c>
      <c r="C7" s="3"/>
    </row>
    <row r="8">
      <c r="A8" s="2" t="str">
        <f>IFERROR(__xludf.DUMMYFUNCTION("""COMPUTED_VALUE"""),"A0026")</f>
        <v>A0026</v>
      </c>
      <c r="B8" s="3" t="str">
        <f>IFERROR(__xludf.DUMMYFUNCTION("""COMPUTED_VALUE"""),"資誠聯合會計師事務所")</f>
        <v>資誠聯合會計師事務所</v>
      </c>
      <c r="C8" s="3"/>
    </row>
    <row r="9">
      <c r="A9" s="2" t="str">
        <f>IFERROR(__xludf.DUMMYFUNCTION("""COMPUTED_VALUE"""),"A0034")</f>
        <v>A0034</v>
      </c>
      <c r="B9" s="3" t="str">
        <f>IFERROR(__xludf.DUMMYFUNCTION("""COMPUTED_VALUE"""),"StarFab (豪覓管理顧問股份有限公司)")</f>
        <v>StarFab (豪覓管理顧問股份有限公司)</v>
      </c>
      <c r="C9" s="3"/>
    </row>
    <row r="10">
      <c r="A10" s="2" t="str">
        <f>IFERROR(__xludf.DUMMYFUNCTION("""COMPUTED_VALUE"""),"A0055")</f>
        <v>A0055</v>
      </c>
      <c r="B10" s="3" t="str">
        <f>IFERROR(__xludf.DUMMYFUNCTION("""COMPUTED_VALUE"""),"資誠聯合會計師事務所")</f>
        <v>資誠聯合會計師事務所</v>
      </c>
      <c r="C10" s="3"/>
    </row>
    <row r="11">
      <c r="A11" s="2" t="str">
        <f>IFERROR(__xludf.DUMMYFUNCTION("""COMPUTED_VALUE"""),"A0059")</f>
        <v>A0059</v>
      </c>
      <c r="B11" s="3" t="str">
        <f>IFERROR(__xludf.DUMMYFUNCTION("""COMPUTED_VALUE"""),"SparkLabs Taiwan 斯伯克國際創業投資有限公司")</f>
        <v>SparkLabs Taiwan 斯伯克國際創業投資有限公司</v>
      </c>
      <c r="C11" s="3"/>
    </row>
    <row r="12">
      <c r="A12" s="2" t="str">
        <f>IFERROR(__xludf.DUMMYFUNCTION("""COMPUTED_VALUE"""),"A0067")</f>
        <v>A0067</v>
      </c>
      <c r="B12" s="3" t="str">
        <f>IFERROR(__xludf.DUMMYFUNCTION("""COMPUTED_VALUE"""),"尚未報名/媒合中")</f>
        <v>尚未報名/媒合中</v>
      </c>
      <c r="C12" s="3"/>
    </row>
    <row r="13">
      <c r="A13" s="2" t="str">
        <f>IFERROR(__xludf.DUMMYFUNCTION("""COMPUTED_VALUE"""),"A0073")</f>
        <v>A0073</v>
      </c>
      <c r="B13" s="3" t="str">
        <f>IFERROR(__xludf.DUMMYFUNCTION("""COMPUTED_VALUE"""),"Mighty Net(邁特創新基地)")</f>
        <v>Mighty Net(邁特創新基地)</v>
      </c>
      <c r="C13" s="3"/>
    </row>
    <row r="14">
      <c r="A14" s="2" t="str">
        <f>IFERROR(__xludf.DUMMYFUNCTION("""COMPUTED_VALUE"""),"A0076")</f>
        <v>A0076</v>
      </c>
      <c r="B14" s="3" t="str">
        <f>IFERROR(__xludf.DUMMYFUNCTION("""COMPUTED_VALUE"""),"StarFab (豪覓管理顧問股份有限公司)")</f>
        <v>StarFab (豪覓管理顧問股份有限公司)</v>
      </c>
      <c r="C14" s="3"/>
    </row>
    <row r="15">
      <c r="A15" s="2" t="str">
        <f>IFERROR(__xludf.DUMMYFUNCTION("""COMPUTED_VALUE"""),"A0078")</f>
        <v>A0078</v>
      </c>
      <c r="B15" s="3" t="str">
        <f>IFERROR(__xludf.DUMMYFUNCTION("""COMPUTED_VALUE"""),"酷日國際有限公司")</f>
        <v>酷日國際有限公司</v>
      </c>
      <c r="C15" s="3"/>
    </row>
    <row r="16">
      <c r="A16" s="2" t="str">
        <f>IFERROR(__xludf.DUMMYFUNCTION("""COMPUTED_VALUE"""),"A0111")</f>
        <v>A0111</v>
      </c>
      <c r="B16" s="3" t="str">
        <f>IFERROR(__xludf.DUMMYFUNCTION("""COMPUTED_VALUE"""),"Mosaic Venture Lab 宇斻管理顧問股份有限公司")</f>
        <v>Mosaic Venture Lab 宇斻管理顧問股份有限公司</v>
      </c>
      <c r="C16" s="3"/>
    </row>
    <row r="17">
      <c r="A17" s="2" t="str">
        <f>IFERROR(__xludf.DUMMYFUNCTION("""COMPUTED_VALUE"""),"A0126")</f>
        <v>A0126</v>
      </c>
      <c r="B17" s="3" t="str">
        <f>IFERROR(__xludf.DUMMYFUNCTION("""COMPUTED_VALUE"""),"尚未報名/媒合中")</f>
        <v>尚未報名/媒合中</v>
      </c>
      <c r="C17" s="3"/>
    </row>
    <row r="18">
      <c r="A18" s="2" t="str">
        <f>IFERROR(__xludf.DUMMYFUNCTION("""COMPUTED_VALUE"""),"A0131")</f>
        <v>A0131</v>
      </c>
      <c r="B18" s="3" t="str">
        <f>IFERROR(__xludf.DUMMYFUNCTION("""COMPUTED_VALUE"""),"StarFab (豪覓管理顧問股份有限公司)")</f>
        <v>StarFab (豪覓管理顧問股份有限公司)</v>
      </c>
      <c r="C18" s="3"/>
    </row>
    <row r="19">
      <c r="A19" s="2" t="str">
        <f>IFERROR(__xludf.DUMMYFUNCTION("""COMPUTED_VALUE"""),"A0135")</f>
        <v>A0135</v>
      </c>
      <c r="B19" s="3" t="str">
        <f>IFERROR(__xludf.DUMMYFUNCTION("""COMPUTED_VALUE"""),"國立陽明交通大學產業加速器暨專利開發策略中心")</f>
        <v>國立陽明交通大學產業加速器暨專利開發策略中心</v>
      </c>
      <c r="C19" s="3"/>
    </row>
    <row r="20">
      <c r="A20" s="2" t="str">
        <f>IFERROR(__xludf.DUMMYFUNCTION("""COMPUTED_VALUE"""),"A0143")</f>
        <v>A0143</v>
      </c>
      <c r="B20" s="3" t="str">
        <f>IFERROR(__xludf.DUMMYFUNCTION("""COMPUTED_VALUE"""),"StarFab (豪覓管理顧問股份有限公司)")</f>
        <v>StarFab (豪覓管理顧問股份有限公司)</v>
      </c>
      <c r="C20" s="3"/>
    </row>
    <row r="21">
      <c r="A21" s="2" t="str">
        <f>IFERROR(__xludf.DUMMYFUNCTION("""COMPUTED_VALUE"""),"A0155")</f>
        <v>A0155</v>
      </c>
      <c r="B21" s="3" t="str">
        <f>IFERROR(__xludf.DUMMYFUNCTION("""COMPUTED_VALUE"""),"StarFab (豪覓管理顧問股份有限公司)")</f>
        <v>StarFab (豪覓管理顧問股份有限公司)</v>
      </c>
      <c r="C21" s="3"/>
    </row>
    <row r="22">
      <c r="A22" s="2" t="str">
        <f>IFERROR(__xludf.DUMMYFUNCTION("""COMPUTED_VALUE"""),"A0168")</f>
        <v>A0168</v>
      </c>
      <c r="B22" s="3" t="str">
        <f>IFERROR(__xludf.DUMMYFUNCTION("""COMPUTED_VALUE"""),"SparkLabs Taiwan 斯伯克國際創業投資有限公司")</f>
        <v>SparkLabs Taiwan 斯伯克國際創業投資有限公司</v>
      </c>
      <c r="C22" s="3"/>
    </row>
    <row r="23">
      <c r="A23" s="2" t="str">
        <f>IFERROR(__xludf.DUMMYFUNCTION("""COMPUTED_VALUE"""),"A0175")</f>
        <v>A0175</v>
      </c>
      <c r="B23" s="3" t="str">
        <f>IFERROR(__xludf.DUMMYFUNCTION("""COMPUTED_VALUE"""),"Mosaic Venture Lab 宇斻管理顧問股份有限公司")</f>
        <v>Mosaic Venture Lab 宇斻管理顧問股份有限公司</v>
      </c>
      <c r="C23" s="3"/>
    </row>
    <row r="24">
      <c r="A24" s="2" t="str">
        <f>IFERROR(__xludf.DUMMYFUNCTION("""COMPUTED_VALUE"""),"A0178")</f>
        <v>A0178</v>
      </c>
      <c r="B24" s="3" t="str">
        <f>IFERROR(__xludf.DUMMYFUNCTION("""COMPUTED_VALUE"""),"SparkLabs Taiwan 斯伯克國際創業投資有限公司")</f>
        <v>SparkLabs Taiwan 斯伯克國際創業投資有限公司</v>
      </c>
      <c r="C24" s="3"/>
    </row>
    <row r="25">
      <c r="A25" s="2" t="str">
        <f>IFERROR(__xludf.DUMMYFUNCTION("""COMPUTED_VALUE"""),"A0181")</f>
        <v>A0181</v>
      </c>
      <c r="B25" s="3" t="str">
        <f>IFERROR(__xludf.DUMMYFUNCTION("""COMPUTED_VALUE"""),"國立陽明交通大學產業加速器暨專利開發策略中心")</f>
        <v>國立陽明交通大學產業加速器暨專利開發策略中心</v>
      </c>
      <c r="C25" s="3"/>
    </row>
    <row r="26">
      <c r="A26" s="2" t="str">
        <f>IFERROR(__xludf.DUMMYFUNCTION("""COMPUTED_VALUE"""),"A0204")</f>
        <v>A0204</v>
      </c>
      <c r="B26" s="3" t="str">
        <f>IFERROR(__xludf.DUMMYFUNCTION("""COMPUTED_VALUE"""),"StarFab (豪覓管理顧問股份有限公司)")</f>
        <v>StarFab (豪覓管理顧問股份有限公司)</v>
      </c>
      <c r="C26" s="3"/>
    </row>
    <row r="27">
      <c r="A27" s="2" t="str">
        <f>IFERROR(__xludf.DUMMYFUNCTION("""COMPUTED_VALUE"""),"A0212")</f>
        <v>A0212</v>
      </c>
      <c r="B27" s="3" t="str">
        <f>IFERROR(__xludf.DUMMYFUNCTION("""COMPUTED_VALUE"""),"扶田資本股份有限公司")</f>
        <v>扶田資本股份有限公司</v>
      </c>
      <c r="C27" s="3"/>
    </row>
    <row r="28">
      <c r="A28" s="2" t="str">
        <f>IFERROR(__xludf.DUMMYFUNCTION("""COMPUTED_VALUE"""),"A0214")</f>
        <v>A0214</v>
      </c>
      <c r="B28" s="3" t="str">
        <f>IFERROR(__xludf.DUMMYFUNCTION("""COMPUTED_VALUE"""),"資育股份有限公司")</f>
        <v>資育股份有限公司</v>
      </c>
      <c r="C28" s="3"/>
    </row>
    <row r="29">
      <c r="A29" s="2" t="str">
        <f>IFERROR(__xludf.DUMMYFUNCTION("""COMPUTED_VALUE"""),"A0217")</f>
        <v>A0217</v>
      </c>
      <c r="B29" s="3" t="str">
        <f>IFERROR(__xludf.DUMMYFUNCTION("""COMPUTED_VALUE"""),"SparkLabs Taiwan 斯伯克國際創業投資有限公司")</f>
        <v>SparkLabs Taiwan 斯伯克國際創業投資有限公司</v>
      </c>
      <c r="C29" s="3"/>
    </row>
    <row r="30">
      <c r="A30" s="2" t="str">
        <f>IFERROR(__xludf.DUMMYFUNCTION("""COMPUTED_VALUE"""),"A0219")</f>
        <v>A0219</v>
      </c>
      <c r="B30" s="3" t="str">
        <f>IFERROR(__xludf.DUMMYFUNCTION("""COMPUTED_VALUE"""),"資育股份有限公司")</f>
        <v>資育股份有限公司</v>
      </c>
      <c r="C30" s="3"/>
    </row>
    <row r="31">
      <c r="A31" s="2" t="str">
        <f>IFERROR(__xludf.DUMMYFUNCTION("""COMPUTED_VALUE"""),"A0220")</f>
        <v>A0220</v>
      </c>
      <c r="B31" s="3" t="str">
        <f>IFERROR(__xludf.DUMMYFUNCTION("""COMPUTED_VALUE"""),"SparkLabs Taiwan 斯伯克國際創業投資有限公司")</f>
        <v>SparkLabs Taiwan 斯伯克國際創業投資有限公司</v>
      </c>
      <c r="C31" s="3"/>
    </row>
    <row r="32">
      <c r="A32" s="2" t="str">
        <f>IFERROR(__xludf.DUMMYFUNCTION("""COMPUTED_VALUE"""),"A0231")</f>
        <v>A0231</v>
      </c>
      <c r="B32" s="3" t="str">
        <f>IFERROR(__xludf.DUMMYFUNCTION("""COMPUTED_VALUE"""),"SparkLabs Taiwan 斯伯克國際創業投資有限公司")</f>
        <v>SparkLabs Taiwan 斯伯克國際創業投資有限公司</v>
      </c>
      <c r="C32" s="3"/>
    </row>
    <row r="33">
      <c r="A33" s="2" t="str">
        <f>IFERROR(__xludf.DUMMYFUNCTION("""COMPUTED_VALUE"""),"A0251")</f>
        <v>A0251</v>
      </c>
      <c r="B33" s="3" t="str">
        <f>IFERROR(__xludf.DUMMYFUNCTION("""COMPUTED_VALUE"""),"遠邦國際品牌CrossBond")</f>
        <v>遠邦國際品牌CrossBond</v>
      </c>
      <c r="C33" s="3"/>
    </row>
    <row r="34">
      <c r="A34" s="2" t="str">
        <f>IFERROR(__xludf.DUMMYFUNCTION("""COMPUTED_VALUE"""),"A0259")</f>
        <v>A0259</v>
      </c>
      <c r="B34" s="3" t="str">
        <f>IFERROR(__xludf.DUMMYFUNCTION("""COMPUTED_VALUE"""),"國立陽明交通大學產業加速器暨專利開發策略中心")</f>
        <v>國立陽明交通大學產業加速器暨專利開發策略中心</v>
      </c>
      <c r="C34" s="3"/>
    </row>
    <row r="35">
      <c r="A35" s="2" t="str">
        <f>IFERROR(__xludf.DUMMYFUNCTION("""COMPUTED_VALUE"""),"A0260")</f>
        <v>A0260</v>
      </c>
      <c r="B35" s="3" t="str">
        <f>IFERROR(__xludf.DUMMYFUNCTION("""COMPUTED_VALUE"""),"國立陽明交通大學產業加速器暨專利開發策略中心")</f>
        <v>國立陽明交通大學產業加速器暨專利開發策略中心</v>
      </c>
      <c r="C35" s="3"/>
    </row>
    <row r="36">
      <c r="A36" s="2" t="str">
        <f>IFERROR(__xludf.DUMMYFUNCTION("""COMPUTED_VALUE"""),"A0268")</f>
        <v>A0268</v>
      </c>
      <c r="B36" s="3" t="str">
        <f>IFERROR(__xludf.DUMMYFUNCTION("""COMPUTED_VALUE"""),"Mosaic Venture Lab 宇斻管理顧問股份有限公司")</f>
        <v>Mosaic Venture Lab 宇斻管理顧問股份有限公司</v>
      </c>
      <c r="C36" s="3"/>
    </row>
    <row r="37">
      <c r="A37" s="2" t="str">
        <f>IFERROR(__xludf.DUMMYFUNCTION("""COMPUTED_VALUE"""),"A0269")</f>
        <v>A0269</v>
      </c>
      <c r="B37" s="3" t="str">
        <f>IFERROR(__xludf.DUMMYFUNCTION("""COMPUTED_VALUE"""),"資育股份有限公司")</f>
        <v>資育股份有限公司</v>
      </c>
      <c r="C37" s="3"/>
    </row>
    <row r="38">
      <c r="A38" s="2" t="str">
        <f>IFERROR(__xludf.DUMMYFUNCTION("""COMPUTED_VALUE"""),"A0276")</f>
        <v>A0276</v>
      </c>
      <c r="B38" s="3" t="str">
        <f>IFERROR(__xludf.DUMMYFUNCTION("""COMPUTED_VALUE"""),"Garage+")</f>
        <v>Garage+</v>
      </c>
      <c r="C38" s="3"/>
    </row>
    <row r="39">
      <c r="A39" s="2" t="str">
        <f>IFERROR(__xludf.DUMMYFUNCTION("""COMPUTED_VALUE"""),"A0290")</f>
        <v>A0290</v>
      </c>
      <c r="B39" s="3" t="str">
        <f>IFERROR(__xludf.DUMMYFUNCTION("""COMPUTED_VALUE"""),"Muse Builder")</f>
        <v>Muse Builder</v>
      </c>
      <c r="C39" s="3"/>
    </row>
    <row r="40">
      <c r="A40" s="2" t="str">
        <f>IFERROR(__xludf.DUMMYFUNCTION("""COMPUTED_VALUE"""),"A0298")</f>
        <v>A0298</v>
      </c>
      <c r="B40" s="3" t="str">
        <f>IFERROR(__xludf.DUMMYFUNCTION("""COMPUTED_VALUE"""),"購威經濟股份有限公司(智慧高軟)")</f>
        <v>購威經濟股份有限公司(智慧高軟)</v>
      </c>
      <c r="C40" s="3"/>
    </row>
    <row r="41">
      <c r="A41" s="2" t="str">
        <f>IFERROR(__xludf.DUMMYFUNCTION("""COMPUTED_VALUE"""),"A0299")</f>
        <v>A0299</v>
      </c>
      <c r="B41" s="3" t="str">
        <f>IFERROR(__xludf.DUMMYFUNCTION("""COMPUTED_VALUE"""),"尚未報名/媒合中")</f>
        <v>尚未報名/媒合中</v>
      </c>
      <c r="C41" s="3"/>
    </row>
    <row r="42">
      <c r="A42" s="2" t="str">
        <f>IFERROR(__xludf.DUMMYFUNCTION("""COMPUTED_VALUE"""),"A0300")</f>
        <v>A0300</v>
      </c>
      <c r="B42" s="3"/>
      <c r="C42" s="3"/>
    </row>
    <row r="43">
      <c r="A43" s="2" t="str">
        <f>IFERROR(__xludf.DUMMYFUNCTION("""COMPUTED_VALUE"""),"A0319")</f>
        <v>A0319</v>
      </c>
      <c r="B43" s="3" t="str">
        <f>IFERROR(__xludf.DUMMYFUNCTION("""COMPUTED_VALUE"""),"SparkLabs Taiwan 斯伯克國際創業投資有限公司")</f>
        <v>SparkLabs Taiwan 斯伯克國際創業投資有限公司</v>
      </c>
      <c r="C43" s="3"/>
    </row>
    <row r="44">
      <c r="A44" s="2" t="str">
        <f>IFERROR(__xludf.DUMMYFUNCTION("""COMPUTED_VALUE"""),"A0330")</f>
        <v>A0330</v>
      </c>
      <c r="B44" s="3" t="str">
        <f>IFERROR(__xludf.DUMMYFUNCTION("""COMPUTED_VALUE"""),"StarFab (豪覓管理顧問股份有限公司)")</f>
        <v>StarFab (豪覓管理顧問股份有限公司)</v>
      </c>
      <c r="C44" s="3"/>
    </row>
    <row r="45">
      <c r="A45" s="2" t="str">
        <f>IFERROR(__xludf.DUMMYFUNCTION("""COMPUTED_VALUE"""),"A0336")</f>
        <v>A0336</v>
      </c>
      <c r="B45" s="3" t="str">
        <f>IFERROR(__xludf.DUMMYFUNCTION("""COMPUTED_VALUE"""),"比翼生醫")</f>
        <v>比翼生醫</v>
      </c>
      <c r="C45" s="3"/>
    </row>
    <row r="46">
      <c r="A46" s="2" t="str">
        <f>IFERROR(__xludf.DUMMYFUNCTION("""COMPUTED_VALUE"""),"A0337")</f>
        <v>A0337</v>
      </c>
      <c r="B46" s="3" t="str">
        <f>IFERROR(__xludf.DUMMYFUNCTION("""COMPUTED_VALUE"""),"比翼生醫")</f>
        <v>比翼生醫</v>
      </c>
      <c r="C46" s="3"/>
    </row>
    <row r="47">
      <c r="A47" s="2" t="str">
        <f>IFERROR(__xludf.DUMMYFUNCTION("""COMPUTED_VALUE"""),"A0350")</f>
        <v>A0350</v>
      </c>
      <c r="B47" s="3" t="str">
        <f>IFERROR(__xludf.DUMMYFUNCTION("""COMPUTED_VALUE"""),"資誠聯合會計師事務所")</f>
        <v>資誠聯合會計師事務所</v>
      </c>
      <c r="C47" s="3"/>
    </row>
    <row r="48">
      <c r="A48" s="2" t="str">
        <f>IFERROR(__xludf.DUMMYFUNCTION("""COMPUTED_VALUE"""),"A0352")</f>
        <v>A0352</v>
      </c>
      <c r="B48" s="3" t="str">
        <f>IFERROR(__xludf.DUMMYFUNCTION("""COMPUTED_VALUE"""),"比翼生醫")</f>
        <v>比翼生醫</v>
      </c>
      <c r="C48" s="3"/>
    </row>
    <row r="49">
      <c r="A49" s="2" t="str">
        <f>IFERROR(__xludf.DUMMYFUNCTION("""COMPUTED_VALUE"""),"Ａ0359")</f>
        <v>Ａ0359</v>
      </c>
      <c r="B49" s="3" t="str">
        <f>IFERROR(__xludf.DUMMYFUNCTION("""COMPUTED_VALUE"""),"尚未報名/媒合中")</f>
        <v>尚未報名/媒合中</v>
      </c>
      <c r="C49" s="3"/>
    </row>
    <row r="50">
      <c r="A50" s="2" t="str">
        <f>IFERROR(__xludf.DUMMYFUNCTION("""COMPUTED_VALUE"""),"A0362")</f>
        <v>A0362</v>
      </c>
      <c r="B50" s="3" t="str">
        <f>IFERROR(__xludf.DUMMYFUNCTION("""COMPUTED_VALUE"""),"聯合創新加速器")</f>
        <v>聯合創新加速器</v>
      </c>
      <c r="C50" s="3"/>
    </row>
    <row r="51">
      <c r="A51" s="2" t="str">
        <f>IFERROR(__xludf.DUMMYFUNCTION("""COMPUTED_VALUE"""),"A0363")</f>
        <v>A0363</v>
      </c>
      <c r="B51" s="3" t="str">
        <f>IFERROR(__xludf.DUMMYFUNCTION("""COMPUTED_VALUE"""),"資誠聯合會計師事務所")</f>
        <v>資誠聯合會計師事務所</v>
      </c>
      <c r="C51" s="3"/>
    </row>
    <row r="52">
      <c r="A52" s="2" t="str">
        <f>IFERROR(__xludf.DUMMYFUNCTION("""COMPUTED_VALUE"""),"A0370")</f>
        <v>A0370</v>
      </c>
      <c r="B52" s="3" t="str">
        <f>IFERROR(__xludf.DUMMYFUNCTION("""COMPUTED_VALUE"""),"安永聯合會計師事務所")</f>
        <v>安永聯合會計師事務所</v>
      </c>
      <c r="C52" s="3"/>
    </row>
    <row r="53">
      <c r="A53" s="2" t="str">
        <f>IFERROR(__xludf.DUMMYFUNCTION("""COMPUTED_VALUE"""),"A0398")</f>
        <v>A0398</v>
      </c>
      <c r="B53" s="3" t="str">
        <f>IFERROR(__xludf.DUMMYFUNCTION("""COMPUTED_VALUE"""),"好食好事加速器")</f>
        <v>好食好事加速器</v>
      </c>
      <c r="C53" s="3"/>
    </row>
    <row r="54">
      <c r="A54" s="2" t="str">
        <f>IFERROR(__xludf.DUMMYFUNCTION("""COMPUTED_VALUE"""),"A0408")</f>
        <v>A0408</v>
      </c>
      <c r="B54" s="3" t="str">
        <f>IFERROR(__xludf.DUMMYFUNCTION("""COMPUTED_VALUE"""),"比翼生醫")</f>
        <v>比翼生醫</v>
      </c>
      <c r="C54" s="3"/>
    </row>
    <row r="55">
      <c r="A55" s="2" t="str">
        <f>IFERROR(__xludf.DUMMYFUNCTION("""COMPUTED_VALUE"""),"A0415")</f>
        <v>A0415</v>
      </c>
      <c r="B55" s="3" t="str">
        <f>IFERROR(__xludf.DUMMYFUNCTION("""COMPUTED_VALUE"""),"聯合創新加速器")</f>
        <v>聯合創新加速器</v>
      </c>
      <c r="C55" s="3"/>
    </row>
    <row r="56">
      <c r="A56" s="2" t="str">
        <f>IFERROR(__xludf.DUMMYFUNCTION("""COMPUTED_VALUE"""),"A0431")</f>
        <v>A0431</v>
      </c>
      <c r="B56" s="3" t="str">
        <f>IFERROR(__xludf.DUMMYFUNCTION("""COMPUTED_VALUE"""),"SparkLabs Taiwan 斯伯克國際創業投資有限公司")</f>
        <v>SparkLabs Taiwan 斯伯克國際創業投資有限公司</v>
      </c>
      <c r="C56" s="3"/>
    </row>
    <row r="57">
      <c r="A57" s="2" t="str">
        <f>IFERROR(__xludf.DUMMYFUNCTION("""COMPUTED_VALUE"""),"A0434")</f>
        <v>A0434</v>
      </c>
      <c r="B57" s="3" t="str">
        <f>IFERROR(__xludf.DUMMYFUNCTION("""COMPUTED_VALUE"""),"Muse Builder")</f>
        <v>Muse Builder</v>
      </c>
      <c r="C57" s="3"/>
    </row>
    <row r="58">
      <c r="A58" s="2" t="str">
        <f>IFERROR(__xludf.DUMMYFUNCTION("""COMPUTED_VALUE"""),"A0440")</f>
        <v>A0440</v>
      </c>
      <c r="B58" s="3" t="str">
        <f>IFERROR(__xludf.DUMMYFUNCTION("""COMPUTED_VALUE"""),"StarFab (豪覓管理顧問股份有限公司)")</f>
        <v>StarFab (豪覓管理顧問股份有限公司)</v>
      </c>
      <c r="C58" s="3"/>
    </row>
    <row r="59">
      <c r="A59" s="2" t="str">
        <f>IFERROR(__xludf.DUMMYFUNCTION("""COMPUTED_VALUE"""),"A0441")</f>
        <v>A0441</v>
      </c>
      <c r="B59" s="3" t="str">
        <f>IFERROR(__xludf.DUMMYFUNCTION("""COMPUTED_VALUE"""),"StarFab (豪覓管理顧問股份有限公司)")</f>
        <v>StarFab (豪覓管理顧問股份有限公司)</v>
      </c>
      <c r="C59" s="3"/>
    </row>
    <row r="60">
      <c r="A60" s="2" t="str">
        <f>IFERROR(__xludf.DUMMYFUNCTION("""COMPUTED_VALUE"""),"A0449")</f>
        <v>A0449</v>
      </c>
      <c r="B60" s="3" t="str">
        <f>IFERROR(__xludf.DUMMYFUNCTION("""COMPUTED_VALUE"""),"聯合創新加速器")</f>
        <v>聯合創新加速器</v>
      </c>
      <c r="C60" s="3"/>
    </row>
    <row r="61">
      <c r="A61" s="2" t="str">
        <f>IFERROR(__xludf.DUMMYFUNCTION("""COMPUTED_VALUE"""),"A0451")</f>
        <v>A0451</v>
      </c>
      <c r="B61" s="3" t="str">
        <f>IFERROR(__xludf.DUMMYFUNCTION("""COMPUTED_VALUE"""),"Mighty Net(邁特創新基地)")</f>
        <v>Mighty Net(邁特創新基地)</v>
      </c>
      <c r="C61" s="3"/>
    </row>
    <row r="62">
      <c r="A62" s="2" t="str">
        <f>IFERROR(__xludf.DUMMYFUNCTION("""COMPUTED_VALUE"""),"A0463")</f>
        <v>A0463</v>
      </c>
      <c r="B62" s="3" t="str">
        <f>IFERROR(__xludf.DUMMYFUNCTION("""COMPUTED_VALUE"""),"SparkLabs Taiwan 斯伯克國際創業投資有限公司")</f>
        <v>SparkLabs Taiwan 斯伯克國際創業投資有限公司</v>
      </c>
      <c r="C62" s="3"/>
    </row>
    <row r="63">
      <c r="A63" s="2" t="str">
        <f>IFERROR(__xludf.DUMMYFUNCTION("""COMPUTED_VALUE"""),"A0466")</f>
        <v>A0466</v>
      </c>
      <c r="B63" s="3" t="str">
        <f>IFERROR(__xludf.DUMMYFUNCTION("""COMPUTED_VALUE"""),"資誠聯合會計師事務所")</f>
        <v>資誠聯合會計師事務所</v>
      </c>
      <c r="C63" s="3"/>
    </row>
    <row r="64">
      <c r="A64" s="2" t="str">
        <f>IFERROR(__xludf.DUMMYFUNCTION("""COMPUTED_VALUE"""),"A0483")</f>
        <v>A0483</v>
      </c>
      <c r="B64" s="3" t="str">
        <f>IFERROR(__xludf.DUMMYFUNCTION("""COMPUTED_VALUE"""),"Garage+")</f>
        <v>Garage+</v>
      </c>
      <c r="C64" s="3"/>
    </row>
    <row r="65">
      <c r="A65" s="2" t="str">
        <f>IFERROR(__xludf.DUMMYFUNCTION("""COMPUTED_VALUE"""),"A0490")</f>
        <v>A0490</v>
      </c>
      <c r="B65" s="3" t="str">
        <f>IFERROR(__xludf.DUMMYFUNCTION("""COMPUTED_VALUE"""),"扶田資本股份有限公司")</f>
        <v>扶田資本股份有限公司</v>
      </c>
      <c r="C65" s="3"/>
    </row>
    <row r="66">
      <c r="A66" s="2" t="str">
        <f>IFERROR(__xludf.DUMMYFUNCTION("""COMPUTED_VALUE"""),"A0495")</f>
        <v>A0495</v>
      </c>
      <c r="B66" s="3" t="str">
        <f>IFERROR(__xludf.DUMMYFUNCTION("""COMPUTED_VALUE"""),"尚未報名/媒合中")</f>
        <v>尚未報名/媒合中</v>
      </c>
      <c r="C66" s="3"/>
    </row>
    <row r="67">
      <c r="A67" s="2" t="str">
        <f>IFERROR(__xludf.DUMMYFUNCTION("""COMPUTED_VALUE"""),"A0500")</f>
        <v>A0500</v>
      </c>
      <c r="B67" s="3" t="str">
        <f>IFERROR(__xludf.DUMMYFUNCTION("""COMPUTED_VALUE"""),"聯合創新加速器")</f>
        <v>聯合創新加速器</v>
      </c>
      <c r="C67" s="3"/>
    </row>
    <row r="68">
      <c r="A68" s="2" t="str">
        <f>IFERROR(__xludf.DUMMYFUNCTION("""COMPUTED_VALUE"""),"A0502")</f>
        <v>A0502</v>
      </c>
      <c r="B68" s="3" t="str">
        <f>IFERROR(__xludf.DUMMYFUNCTION("""COMPUTED_VALUE"""),"Mighty Net(邁特創新基地)")</f>
        <v>Mighty Net(邁特創新基地)</v>
      </c>
      <c r="C68" s="3"/>
    </row>
    <row r="69">
      <c r="A69" s="2" t="str">
        <f>IFERROR(__xludf.DUMMYFUNCTION("""COMPUTED_VALUE"""),"A0508")</f>
        <v>A0508</v>
      </c>
      <c r="B69" s="3" t="str">
        <f>IFERROR(__xludf.DUMMYFUNCTION("""COMPUTED_VALUE"""),"Garage+")</f>
        <v>Garage+</v>
      </c>
      <c r="C69" s="3"/>
    </row>
    <row r="70">
      <c r="A70" s="2" t="str">
        <f>IFERROR(__xludf.DUMMYFUNCTION("""COMPUTED_VALUE"""),"A0527")</f>
        <v>A0527</v>
      </c>
      <c r="B70" s="3" t="str">
        <f>IFERROR(__xludf.DUMMYFUNCTION("""COMPUTED_VALUE"""),"尚未報名/媒合中")</f>
        <v>尚未報名/媒合中</v>
      </c>
      <c r="C70" s="3"/>
    </row>
    <row r="71">
      <c r="A71" s="2" t="str">
        <f>IFERROR(__xludf.DUMMYFUNCTION("""COMPUTED_VALUE"""),"A0528")</f>
        <v>A0528</v>
      </c>
      <c r="B71" s="3" t="str">
        <f>IFERROR(__xludf.DUMMYFUNCTION("""COMPUTED_VALUE"""),"StarFab (豪覓管理顧問股份有限公司)")</f>
        <v>StarFab (豪覓管理顧問股份有限公司)</v>
      </c>
      <c r="C71" s="3"/>
    </row>
    <row r="72">
      <c r="A72" s="2" t="str">
        <f>IFERROR(__xludf.DUMMYFUNCTION("""COMPUTED_VALUE"""),"A0533")</f>
        <v>A0533</v>
      </c>
      <c r="B72" s="3" t="str">
        <f>IFERROR(__xludf.DUMMYFUNCTION("""COMPUTED_VALUE"""),"資誠聯合會計師事務所")</f>
        <v>資誠聯合會計師事務所</v>
      </c>
      <c r="C72" s="3"/>
    </row>
    <row r="73">
      <c r="A73" s="2" t="str">
        <f>IFERROR(__xludf.DUMMYFUNCTION("""COMPUTED_VALUE"""),"A0534")</f>
        <v>A0534</v>
      </c>
      <c r="B73" s="3" t="str">
        <f>IFERROR(__xludf.DUMMYFUNCTION("""COMPUTED_VALUE"""),"酷日國際有限公司")</f>
        <v>酷日國際有限公司</v>
      </c>
      <c r="C73" s="3"/>
    </row>
    <row r="74">
      <c r="A74" s="2" t="str">
        <f>IFERROR(__xludf.DUMMYFUNCTION("""COMPUTED_VALUE"""),"A0541")</f>
        <v>A0541</v>
      </c>
      <c r="B74" s="3" t="str">
        <f>IFERROR(__xludf.DUMMYFUNCTION("""COMPUTED_VALUE"""),"StarFab (豪覓管理顧問股份有限公司)")</f>
        <v>StarFab (豪覓管理顧問股份有限公司)</v>
      </c>
      <c r="C74" s="3"/>
    </row>
    <row r="75">
      <c r="A75" s="2" t="str">
        <f>IFERROR(__xludf.DUMMYFUNCTION("""COMPUTED_VALUE"""),"A0542")</f>
        <v>A0542</v>
      </c>
      <c r="B75" s="3" t="str">
        <f>IFERROR(__xludf.DUMMYFUNCTION("""COMPUTED_VALUE"""),"好食好事加速器")</f>
        <v>好食好事加速器</v>
      </c>
      <c r="C75" s="3"/>
    </row>
    <row r="76">
      <c r="A76" s="2" t="str">
        <f>IFERROR(__xludf.DUMMYFUNCTION("""COMPUTED_VALUE"""),"A0551")</f>
        <v>A0551</v>
      </c>
      <c r="B76" s="3" t="str">
        <f>IFERROR(__xludf.DUMMYFUNCTION("""COMPUTED_VALUE"""),"扶田資本股份有限公司")</f>
        <v>扶田資本股份有限公司</v>
      </c>
      <c r="C76" s="3"/>
    </row>
    <row r="77">
      <c r="A77" s="2" t="str">
        <f>IFERROR(__xludf.DUMMYFUNCTION("""COMPUTED_VALUE"""),"A0565")</f>
        <v>A0565</v>
      </c>
      <c r="B77" s="3" t="str">
        <f>IFERROR(__xludf.DUMMYFUNCTION("""COMPUTED_VALUE"""),"比翼生醫")</f>
        <v>比翼生醫</v>
      </c>
      <c r="C77" s="3"/>
    </row>
    <row r="78">
      <c r="A78" s="2" t="str">
        <f>IFERROR(__xludf.DUMMYFUNCTION("""COMPUTED_VALUE"""),"A0568")</f>
        <v>A0568</v>
      </c>
      <c r="B78" s="3" t="str">
        <f>IFERROR(__xludf.DUMMYFUNCTION("""COMPUTED_VALUE"""),"生物技術開發中心(南港生技育成中心)")</f>
        <v>生物技術開發中心(南港生技育成中心)</v>
      </c>
      <c r="C78" s="3"/>
    </row>
    <row r="79">
      <c r="A79" s="2" t="str">
        <f>IFERROR(__xludf.DUMMYFUNCTION("""COMPUTED_VALUE"""),"A0575")</f>
        <v>A0575</v>
      </c>
      <c r="B79" s="3" t="str">
        <f>IFERROR(__xludf.DUMMYFUNCTION("""COMPUTED_VALUE"""),"Mosaic Venture Lab 宇斻管理顧問股份有限公司")</f>
        <v>Mosaic Venture Lab 宇斻管理顧問股份有限公司</v>
      </c>
      <c r="C79" s="3"/>
    </row>
    <row r="80">
      <c r="A80" s="2" t="str">
        <f>IFERROR(__xludf.DUMMYFUNCTION("""COMPUTED_VALUE"""),"A0577")</f>
        <v>A0577</v>
      </c>
      <c r="B80" s="3" t="str">
        <f>IFERROR(__xludf.DUMMYFUNCTION("""COMPUTED_VALUE"""),"國家衛生研究院/ 創新育成中心")</f>
        <v>國家衛生研究院/ 創新育成中心</v>
      </c>
      <c r="C80" s="3"/>
    </row>
    <row r="81">
      <c r="A81" s="2" t="str">
        <f>IFERROR(__xludf.DUMMYFUNCTION("""COMPUTED_VALUE"""),"A0582")</f>
        <v>A0582</v>
      </c>
      <c r="B81" s="3" t="str">
        <f>IFERROR(__xludf.DUMMYFUNCTION("""COMPUTED_VALUE"""),"SparkLabs Taiwan 斯伯克國際創業投資有限公司")</f>
        <v>SparkLabs Taiwan 斯伯克國際創業投資有限公司</v>
      </c>
      <c r="C81" s="3"/>
    </row>
    <row r="82">
      <c r="A82" s="2" t="str">
        <f>IFERROR(__xludf.DUMMYFUNCTION("""COMPUTED_VALUE"""),"A0584")</f>
        <v>A0584</v>
      </c>
      <c r="B82" s="3" t="str">
        <f>IFERROR(__xludf.DUMMYFUNCTION("""COMPUTED_VALUE"""),"StarFab (豪覓管理顧問股份有限公司)")</f>
        <v>StarFab (豪覓管理顧問股份有限公司)</v>
      </c>
      <c r="C82" s="3"/>
    </row>
    <row r="83">
      <c r="A83" s="2" t="str">
        <f>IFERROR(__xludf.DUMMYFUNCTION("""COMPUTED_VALUE"""),"A0586")</f>
        <v>A0586</v>
      </c>
      <c r="B83" s="3" t="str">
        <f>IFERROR(__xludf.DUMMYFUNCTION("""COMPUTED_VALUE"""),"Garage+")</f>
        <v>Garage+</v>
      </c>
      <c r="C83" s="3"/>
    </row>
    <row r="84">
      <c r="A84" s="2" t="str">
        <f>IFERROR(__xludf.DUMMYFUNCTION("""COMPUTED_VALUE"""),"A0597")</f>
        <v>A0597</v>
      </c>
      <c r="B84" s="3" t="str">
        <f>IFERROR(__xludf.DUMMYFUNCTION("""COMPUTED_VALUE"""),"StarFab (豪覓管理顧問股份有限公司)")</f>
        <v>StarFab (豪覓管理顧問股份有限公司)</v>
      </c>
      <c r="C84" s="3"/>
    </row>
    <row r="85">
      <c r="A85" s="2" t="str">
        <f>IFERROR(__xludf.DUMMYFUNCTION("""COMPUTED_VALUE"""),"A0605")</f>
        <v>A0605</v>
      </c>
      <c r="B85" s="3" t="str">
        <f>IFERROR(__xludf.DUMMYFUNCTION("""COMPUTED_VALUE"""),"安永聯合會計師事務所")</f>
        <v>安永聯合會計師事務所</v>
      </c>
      <c r="C85" s="3"/>
    </row>
    <row r="86">
      <c r="A86" s="2" t="str">
        <f>IFERROR(__xludf.DUMMYFUNCTION("""COMPUTED_VALUE"""),"A0613")</f>
        <v>A0613</v>
      </c>
      <c r="B86" s="3" t="str">
        <f>IFERROR(__xludf.DUMMYFUNCTION("""COMPUTED_VALUE"""),"尚未報名/媒合中")</f>
        <v>尚未報名/媒合中</v>
      </c>
      <c r="C86" s="3"/>
    </row>
    <row r="87">
      <c r="A87" s="2" t="str">
        <f>IFERROR(__xludf.DUMMYFUNCTION("""COMPUTED_VALUE"""),"A0615")</f>
        <v>A0615</v>
      </c>
      <c r="B87" s="3" t="str">
        <f>IFERROR(__xludf.DUMMYFUNCTION("""COMPUTED_VALUE"""),"比翼生醫")</f>
        <v>比翼生醫</v>
      </c>
      <c r="C87" s="3"/>
    </row>
    <row r="88">
      <c r="A88" s="2" t="str">
        <f>IFERROR(__xludf.DUMMYFUNCTION("""COMPUTED_VALUE"""),"A0619")</f>
        <v>A0619</v>
      </c>
      <c r="B88" s="3" t="str">
        <f>IFERROR(__xludf.DUMMYFUNCTION("""COMPUTED_VALUE"""),"酷日國際有限公司")</f>
        <v>酷日國際有限公司</v>
      </c>
      <c r="C88" s="3"/>
    </row>
    <row r="89">
      <c r="A89" s="2" t="str">
        <f>IFERROR(__xludf.DUMMYFUNCTION("""COMPUTED_VALUE"""),"A0620")</f>
        <v>A0620</v>
      </c>
      <c r="B89" s="3" t="str">
        <f>IFERROR(__xludf.DUMMYFUNCTION("""COMPUTED_VALUE"""),"好食好事加速器")</f>
        <v>好食好事加速器</v>
      </c>
      <c r="C89" s="3"/>
    </row>
    <row r="90">
      <c r="A90" s="2" t="str">
        <f>IFERROR(__xludf.DUMMYFUNCTION("""COMPUTED_VALUE"""),"A0622")</f>
        <v>A0622</v>
      </c>
      <c r="B90" s="3" t="str">
        <f>IFERROR(__xludf.DUMMYFUNCTION("""COMPUTED_VALUE"""),"生物技術開發中心(南港生技育成中心)")</f>
        <v>生物技術開發中心(南港生技育成中心)</v>
      </c>
      <c r="C90" s="3"/>
    </row>
    <row r="91">
      <c r="A91" s="2" t="str">
        <f>IFERROR(__xludf.DUMMYFUNCTION("""COMPUTED_VALUE"""),"A0623")</f>
        <v>A0623</v>
      </c>
      <c r="B91" s="3" t="str">
        <f>IFERROR(__xludf.DUMMYFUNCTION("""COMPUTED_VALUE"""),"好食好事加速器")</f>
        <v>好食好事加速器</v>
      </c>
      <c r="C91" s="3"/>
    </row>
    <row r="92">
      <c r="A92" s="2" t="str">
        <f>IFERROR(__xludf.DUMMYFUNCTION("""COMPUTED_VALUE"""),"A0627")</f>
        <v>A0627</v>
      </c>
      <c r="B92" s="3" t="str">
        <f>IFERROR(__xludf.DUMMYFUNCTION("""COMPUTED_VALUE"""),"國家衛生研究院/ 創新育成中心")</f>
        <v>國家衛生研究院/ 創新育成中心</v>
      </c>
      <c r="C92" s="3"/>
    </row>
    <row r="93">
      <c r="A93" s="2" t="str">
        <f>IFERROR(__xludf.DUMMYFUNCTION("""COMPUTED_VALUE"""),"A0630")</f>
        <v>A0630</v>
      </c>
      <c r="B93" s="3" t="str">
        <f>IFERROR(__xludf.DUMMYFUNCTION("""COMPUTED_VALUE"""),"Mighty Net(邁特創新基地)")</f>
        <v>Mighty Net(邁特創新基地)</v>
      </c>
      <c r="C93" s="3"/>
    </row>
    <row r="94">
      <c r="A94" s="2" t="str">
        <f>IFERROR(__xludf.DUMMYFUNCTION("""COMPUTED_VALUE"""),"A0634")</f>
        <v>A0634</v>
      </c>
      <c r="B94" s="3"/>
      <c r="C94" s="3"/>
    </row>
    <row r="95">
      <c r="A95" s="2" t="str">
        <f>IFERROR(__xludf.DUMMYFUNCTION("""COMPUTED_VALUE"""),"A0635")</f>
        <v>A0635</v>
      </c>
      <c r="B95" s="3" t="str">
        <f>IFERROR(__xludf.DUMMYFUNCTION("""COMPUTED_VALUE"""),"聯合創新加速器")</f>
        <v>聯合創新加速器</v>
      </c>
      <c r="C95" s="3"/>
    </row>
    <row r="96">
      <c r="A96" s="2" t="str">
        <f>IFERROR(__xludf.DUMMYFUNCTION("""COMPUTED_VALUE"""),"A0636")</f>
        <v>A0636</v>
      </c>
      <c r="B96" s="3" t="str">
        <f>IFERROR(__xludf.DUMMYFUNCTION("""COMPUTED_VALUE"""),"活水影響力投資")</f>
        <v>活水影響力投資</v>
      </c>
      <c r="C96" s="3"/>
    </row>
    <row r="97">
      <c r="A97" s="2" t="str">
        <f>IFERROR(__xludf.DUMMYFUNCTION("""COMPUTED_VALUE"""),"A0637")</f>
        <v>A0637</v>
      </c>
      <c r="B97" s="3" t="str">
        <f>IFERROR(__xludf.DUMMYFUNCTION("""COMPUTED_VALUE"""),"Mosaic Venture Lab 宇斻管理顧問股份有限公司")</f>
        <v>Mosaic Venture Lab 宇斻管理顧問股份有限公司</v>
      </c>
      <c r="C97" s="3"/>
    </row>
    <row r="98">
      <c r="A98" s="2" t="str">
        <f>IFERROR(__xludf.DUMMYFUNCTION("""COMPUTED_VALUE"""),"A0650")</f>
        <v>A0650</v>
      </c>
      <c r="B98" s="3" t="str">
        <f>IFERROR(__xludf.DUMMYFUNCTION("""COMPUTED_VALUE"""),"好食好事加速器")</f>
        <v>好食好事加速器</v>
      </c>
      <c r="C98" s="3"/>
    </row>
    <row r="99">
      <c r="A99" s="2" t="str">
        <f>IFERROR(__xludf.DUMMYFUNCTION("""COMPUTED_VALUE"""),"A0651")</f>
        <v>A0651</v>
      </c>
      <c r="B99" s="3" t="str">
        <f>IFERROR(__xludf.DUMMYFUNCTION("""COMPUTED_VALUE"""),"扶田資本股份有限公司")</f>
        <v>扶田資本股份有限公司</v>
      </c>
      <c r="C99" s="3"/>
    </row>
    <row r="100">
      <c r="A100" s="2" t="str">
        <f>IFERROR(__xludf.DUMMYFUNCTION("""COMPUTED_VALUE"""),"A0653")</f>
        <v>A0653</v>
      </c>
      <c r="B100" s="3" t="str">
        <f>IFERROR(__xludf.DUMMYFUNCTION("""COMPUTED_VALUE"""),"資誠聯合會計師事務所")</f>
        <v>資誠聯合會計師事務所</v>
      </c>
      <c r="C100" s="3"/>
    </row>
    <row r="101">
      <c r="A101" s="2" t="str">
        <f>IFERROR(__xludf.DUMMYFUNCTION("""COMPUTED_VALUE"""),"A0661")</f>
        <v>A0661</v>
      </c>
      <c r="B101" s="3" t="str">
        <f>IFERROR(__xludf.DUMMYFUNCTION("""COMPUTED_VALUE"""),"購威經濟股份有限公司(智慧高軟)")</f>
        <v>購威經濟股份有限公司(智慧高軟)</v>
      </c>
      <c r="C101" s="3"/>
    </row>
    <row r="102">
      <c r="A102" s="2" t="str">
        <f>IFERROR(__xludf.DUMMYFUNCTION("""COMPUTED_VALUE"""),"A0667")</f>
        <v>A0667</v>
      </c>
      <c r="B102" s="3" t="str">
        <f>IFERROR(__xludf.DUMMYFUNCTION("""COMPUTED_VALUE"""),"好食好事加速器")</f>
        <v>好食好事加速器</v>
      </c>
      <c r="C102" s="3"/>
    </row>
    <row r="103">
      <c r="A103" s="2" t="str">
        <f>IFERROR(__xludf.DUMMYFUNCTION("""COMPUTED_VALUE"""),"A0674")</f>
        <v>A0674</v>
      </c>
      <c r="B103" s="3" t="str">
        <f>IFERROR(__xludf.DUMMYFUNCTION("""COMPUTED_VALUE"""),"比翼生醫")</f>
        <v>比翼生醫</v>
      </c>
      <c r="C103" s="3"/>
    </row>
    <row r="104">
      <c r="A104" s="2" t="str">
        <f>IFERROR(__xludf.DUMMYFUNCTION("""COMPUTED_VALUE"""),"A0677")</f>
        <v>A0677</v>
      </c>
      <c r="B104" s="3" t="str">
        <f>IFERROR(__xludf.DUMMYFUNCTION("""COMPUTED_VALUE"""),"資育股份有限公司")</f>
        <v>資育股份有限公司</v>
      </c>
      <c r="C104" s="3"/>
    </row>
    <row r="105">
      <c r="A105" s="2" t="str">
        <f>IFERROR(__xludf.DUMMYFUNCTION("""COMPUTED_VALUE"""),"A0686")</f>
        <v>A0686</v>
      </c>
      <c r="B105" s="3" t="str">
        <f>IFERROR(__xludf.DUMMYFUNCTION("""COMPUTED_VALUE"""),"SparkLabs Taiwan 斯伯克國際創業投資有限公司")</f>
        <v>SparkLabs Taiwan 斯伯克國際創業投資有限公司</v>
      </c>
      <c r="C105" s="3"/>
    </row>
    <row r="106">
      <c r="A106" s="2" t="str">
        <f>IFERROR(__xludf.DUMMYFUNCTION("""COMPUTED_VALUE"""),"A0687")</f>
        <v>A0687</v>
      </c>
      <c r="B106" s="3" t="str">
        <f>IFERROR(__xludf.DUMMYFUNCTION("""COMPUTED_VALUE"""),"尚未報名/媒合中")</f>
        <v>尚未報名/媒合中</v>
      </c>
      <c r="C106" s="3"/>
    </row>
    <row r="107">
      <c r="A107" s="2" t="str">
        <f>IFERROR(__xludf.DUMMYFUNCTION("""COMPUTED_VALUE"""),"A0693")</f>
        <v>A0693</v>
      </c>
      <c r="B107" s="3" t="str">
        <f>IFERROR(__xludf.DUMMYFUNCTION("""COMPUTED_VALUE"""),"StarFab (豪覓管理顧問股份有限公司)")</f>
        <v>StarFab (豪覓管理顧問股份有限公司)</v>
      </c>
      <c r="C107" s="3"/>
    </row>
    <row r="108">
      <c r="A108" s="2" t="str">
        <f>IFERROR(__xludf.DUMMYFUNCTION("""COMPUTED_VALUE"""),"A0694")</f>
        <v>A0694</v>
      </c>
      <c r="B108" s="3" t="str">
        <f>IFERROR(__xludf.DUMMYFUNCTION("""COMPUTED_VALUE"""),"尚未報名/媒合中")</f>
        <v>尚未報名/媒合中</v>
      </c>
      <c r="C108" s="3"/>
    </row>
    <row r="109">
      <c r="A109" s="2" t="str">
        <f>IFERROR(__xludf.DUMMYFUNCTION("""COMPUTED_VALUE"""),"A0695")</f>
        <v>A0695</v>
      </c>
      <c r="B109" s="3" t="str">
        <f>IFERROR(__xludf.DUMMYFUNCTION("""COMPUTED_VALUE"""),"資誠聯合會計師事務所")</f>
        <v>資誠聯合會計師事務所</v>
      </c>
      <c r="C109" s="3"/>
    </row>
    <row r="110">
      <c r="A110" s="2" t="str">
        <f>IFERROR(__xludf.DUMMYFUNCTION("""COMPUTED_VALUE"""),"A0702")</f>
        <v>A0702</v>
      </c>
      <c r="B110" s="3" t="str">
        <f>IFERROR(__xludf.DUMMYFUNCTION("""COMPUTED_VALUE"""),"Garage+")</f>
        <v>Garage+</v>
      </c>
      <c r="C110" s="3"/>
    </row>
    <row r="111">
      <c r="A111" s="2" t="str">
        <f>IFERROR(__xludf.DUMMYFUNCTION("""COMPUTED_VALUE"""),"A0708")</f>
        <v>A0708</v>
      </c>
      <c r="B111" s="3" t="str">
        <f>IFERROR(__xludf.DUMMYFUNCTION("""COMPUTED_VALUE"""),"SparkLabs Taiwan 斯伯克國際創業投資有限公司")</f>
        <v>SparkLabs Taiwan 斯伯克國際創業投資有限公司</v>
      </c>
      <c r="C111" s="3"/>
    </row>
    <row r="112">
      <c r="A112" s="2" t="str">
        <f>IFERROR(__xludf.DUMMYFUNCTION("""COMPUTED_VALUE"""),"A0716")</f>
        <v>A0716</v>
      </c>
      <c r="B112" s="3" t="str">
        <f>IFERROR(__xludf.DUMMYFUNCTION("""COMPUTED_VALUE"""),"SparkLabs Taiwan 斯伯克國際創業投資有限公司")</f>
        <v>SparkLabs Taiwan 斯伯克國際創業投資有限公司</v>
      </c>
      <c r="C112" s="3"/>
    </row>
    <row r="113">
      <c r="A113" s="2" t="str">
        <f>IFERROR(__xludf.DUMMYFUNCTION("""COMPUTED_VALUE"""),"A0722")</f>
        <v>A0722</v>
      </c>
      <c r="B113" s="3" t="str">
        <f>IFERROR(__xludf.DUMMYFUNCTION("""COMPUTED_VALUE"""),"SparkLabs Taiwan 斯伯克國際創業投資有限公司")</f>
        <v>SparkLabs Taiwan 斯伯克國際創業投資有限公司</v>
      </c>
      <c r="C113" s="3"/>
    </row>
    <row r="114">
      <c r="A114" s="2" t="str">
        <f>IFERROR(__xludf.DUMMYFUNCTION("""COMPUTED_VALUE"""),"A0727")</f>
        <v>A0727</v>
      </c>
      <c r="B114" s="3" t="str">
        <f>IFERROR(__xludf.DUMMYFUNCTION("""COMPUTED_VALUE"""),"資誠聯合會計師事務所")</f>
        <v>資誠聯合會計師事務所</v>
      </c>
      <c r="C114" s="3"/>
    </row>
    <row r="115">
      <c r="A115" s="2" t="str">
        <f>IFERROR(__xludf.DUMMYFUNCTION("""COMPUTED_VALUE"""),"A0745")</f>
        <v>A0745</v>
      </c>
      <c r="B115" s="3" t="str">
        <f>IFERROR(__xludf.DUMMYFUNCTION("""COMPUTED_VALUE"""),"比翼生醫")</f>
        <v>比翼生醫</v>
      </c>
      <c r="C115" s="3"/>
    </row>
    <row r="116">
      <c r="A116" s="2" t="str">
        <f>IFERROR(__xludf.DUMMYFUNCTION("""COMPUTED_VALUE"""),"A0749")</f>
        <v>A0749</v>
      </c>
      <c r="B116" s="3" t="str">
        <f>IFERROR(__xludf.DUMMYFUNCTION("""COMPUTED_VALUE"""),"活水影響力投資")</f>
        <v>活水影響力投資</v>
      </c>
      <c r="C116" s="3"/>
    </row>
    <row r="117">
      <c r="A117" s="2" t="str">
        <f>IFERROR(__xludf.DUMMYFUNCTION("""COMPUTED_VALUE"""),"A0755")</f>
        <v>A0755</v>
      </c>
      <c r="B117" s="3"/>
      <c r="C117" s="3"/>
    </row>
    <row r="118">
      <c r="A118" s="2" t="str">
        <f>IFERROR(__xludf.DUMMYFUNCTION("""COMPUTED_VALUE"""),"A0756")</f>
        <v>A0756</v>
      </c>
      <c r="B118" s="3" t="str">
        <f>IFERROR(__xludf.DUMMYFUNCTION("""COMPUTED_VALUE"""),"扶田資本股份有限公司")</f>
        <v>扶田資本股份有限公司</v>
      </c>
      <c r="C118" s="3"/>
    </row>
    <row r="119">
      <c r="A119" s="2" t="str">
        <f>IFERROR(__xludf.DUMMYFUNCTION("""COMPUTED_VALUE"""),"A0770")</f>
        <v>A0770</v>
      </c>
      <c r="B119" s="3" t="str">
        <f>IFERROR(__xludf.DUMMYFUNCTION("""COMPUTED_VALUE"""),"資育股份有限公司")</f>
        <v>資育股份有限公司</v>
      </c>
      <c r="C119" s="3"/>
    </row>
    <row r="120">
      <c r="A120" s="2" t="str">
        <f>IFERROR(__xludf.DUMMYFUNCTION("""COMPUTED_VALUE"""),"A0773")</f>
        <v>A0773</v>
      </c>
      <c r="B120" s="3" t="str">
        <f>IFERROR(__xludf.DUMMYFUNCTION("""COMPUTED_VALUE"""),"扶田資本股份有限公司")</f>
        <v>扶田資本股份有限公司</v>
      </c>
      <c r="C120" s="3"/>
    </row>
    <row r="121">
      <c r="A121" s="2" t="str">
        <f>IFERROR(__xludf.DUMMYFUNCTION("""COMPUTED_VALUE"""),"A0775")</f>
        <v>A0775</v>
      </c>
      <c r="B121" s="3" t="str">
        <f>IFERROR(__xludf.DUMMYFUNCTION("""COMPUTED_VALUE"""),"扶田資本股份有限公司")</f>
        <v>扶田資本股份有限公司</v>
      </c>
      <c r="C121" s="3"/>
    </row>
    <row r="122">
      <c r="A122" s="2" t="str">
        <f>IFERROR(__xludf.DUMMYFUNCTION("""COMPUTED_VALUE"""),"A0777")</f>
        <v>A0777</v>
      </c>
      <c r="B122" s="3" t="str">
        <f>IFERROR(__xludf.DUMMYFUNCTION("""COMPUTED_VALUE"""),"聯合創新加速器")</f>
        <v>聯合創新加速器</v>
      </c>
      <c r="C122" s="3"/>
    </row>
    <row r="123">
      <c r="A123" s="2" t="str">
        <f>IFERROR(__xludf.DUMMYFUNCTION("""COMPUTED_VALUE"""),"A0787")</f>
        <v>A0787</v>
      </c>
      <c r="B123" s="3" t="str">
        <f>IFERROR(__xludf.DUMMYFUNCTION("""COMPUTED_VALUE"""),"購威經濟股份有限公司(智慧高軟)")</f>
        <v>購威經濟股份有限公司(智慧高軟)</v>
      </c>
      <c r="C123" s="3"/>
    </row>
    <row r="124">
      <c r="A124" s="2" t="str">
        <f>IFERROR(__xludf.DUMMYFUNCTION("""COMPUTED_VALUE"""),"A0799")</f>
        <v>A0799</v>
      </c>
      <c r="B124" s="3" t="str">
        <f>IFERROR(__xludf.DUMMYFUNCTION("""COMPUTED_VALUE"""),"比翼生醫")</f>
        <v>比翼生醫</v>
      </c>
      <c r="C124" s="3"/>
    </row>
    <row r="125">
      <c r="A125" s="2" t="str">
        <f>IFERROR(__xludf.DUMMYFUNCTION("""COMPUTED_VALUE"""),"A0800")</f>
        <v>A0800</v>
      </c>
      <c r="B125" s="3" t="str">
        <f>IFERROR(__xludf.DUMMYFUNCTION("""COMPUTED_VALUE"""),"資育股份有限公司")</f>
        <v>資育股份有限公司</v>
      </c>
      <c r="C125" s="3"/>
    </row>
    <row r="126">
      <c r="A126" s="2" t="str">
        <f>IFERROR(__xludf.DUMMYFUNCTION("""COMPUTED_VALUE"""),"A0801")</f>
        <v>A0801</v>
      </c>
      <c r="B126" s="3" t="str">
        <f>IFERROR(__xludf.DUMMYFUNCTION("""COMPUTED_VALUE"""),"Muse Builder")</f>
        <v>Muse Builder</v>
      </c>
      <c r="C126" s="3"/>
    </row>
    <row r="127">
      <c r="A127" s="2" t="str">
        <f>IFERROR(__xludf.DUMMYFUNCTION("""COMPUTED_VALUE"""),"A0808")</f>
        <v>A0808</v>
      </c>
      <c r="B127" s="3" t="str">
        <f>IFERROR(__xludf.DUMMYFUNCTION("""COMPUTED_VALUE"""),"SparkLabs Taiwan 斯伯克國際創業投資有限公司")</f>
        <v>SparkLabs Taiwan 斯伯克國際創業投資有限公司</v>
      </c>
      <c r="C127" s="3"/>
    </row>
    <row r="128">
      <c r="A128" s="2" t="str">
        <f>IFERROR(__xludf.DUMMYFUNCTION("""COMPUTED_VALUE"""),"A0814")</f>
        <v>A0814</v>
      </c>
      <c r="B128" s="3" t="str">
        <f>IFERROR(__xludf.DUMMYFUNCTION("""COMPUTED_VALUE"""),"SparkLabs Taiwan 斯伯克國際創業投資有限公司")</f>
        <v>SparkLabs Taiwan 斯伯克國際創業投資有限公司</v>
      </c>
      <c r="C128" s="3"/>
    </row>
    <row r="129">
      <c r="A129" s="2" t="str">
        <f>IFERROR(__xludf.DUMMYFUNCTION("""COMPUTED_VALUE"""),"A0815")</f>
        <v>A0815</v>
      </c>
      <c r="B129" s="3" t="str">
        <f>IFERROR(__xludf.DUMMYFUNCTION("""COMPUTED_VALUE"""),"好食好事加速器")</f>
        <v>好食好事加速器</v>
      </c>
      <c r="C129" s="3"/>
    </row>
    <row r="130">
      <c r="A130" s="2" t="str">
        <f>IFERROR(__xludf.DUMMYFUNCTION("""COMPUTED_VALUE"""),"A0833")</f>
        <v>A0833</v>
      </c>
      <c r="B130" s="3" t="str">
        <f>IFERROR(__xludf.DUMMYFUNCTION("""COMPUTED_VALUE"""),"StarFab (豪覓管理顧問股份有限公司)")</f>
        <v>StarFab (豪覓管理顧問股份有限公司)</v>
      </c>
      <c r="C130" s="3"/>
    </row>
    <row r="131">
      <c r="A131" s="2" t="str">
        <f>IFERROR(__xludf.DUMMYFUNCTION("""COMPUTED_VALUE"""),"A0838")</f>
        <v>A0838</v>
      </c>
      <c r="B131" s="3" t="str">
        <f>IFERROR(__xludf.DUMMYFUNCTION("""COMPUTED_VALUE"""),"資誠聯合會計師事務所")</f>
        <v>資誠聯合會計師事務所</v>
      </c>
      <c r="C131" s="3"/>
    </row>
    <row r="132">
      <c r="A132" s="2" t="str">
        <f>IFERROR(__xludf.DUMMYFUNCTION("""COMPUTED_VALUE"""),"A0849")</f>
        <v>A0849</v>
      </c>
      <c r="B132" s="3" t="str">
        <f>IFERROR(__xludf.DUMMYFUNCTION("""COMPUTED_VALUE"""),"遠邦國際品牌CrossBond")</f>
        <v>遠邦國際品牌CrossBond</v>
      </c>
      <c r="C132" s="3"/>
    </row>
    <row r="133">
      <c r="A133" s="2" t="str">
        <f>IFERROR(__xludf.DUMMYFUNCTION("""COMPUTED_VALUE"""),"A0855")</f>
        <v>A0855</v>
      </c>
      <c r="B133" s="3" t="str">
        <f>IFERROR(__xludf.DUMMYFUNCTION("""COMPUTED_VALUE"""),"StarFab (豪覓管理顧問股份有限公司)")</f>
        <v>StarFab (豪覓管理顧問股份有限公司)</v>
      </c>
      <c r="C133" s="3"/>
    </row>
    <row r="134">
      <c r="A134" s="2" t="str">
        <f>IFERROR(__xludf.DUMMYFUNCTION("""COMPUTED_VALUE"""),"A0856")</f>
        <v>A0856</v>
      </c>
      <c r="B134" s="3" t="str">
        <f>IFERROR(__xludf.DUMMYFUNCTION("""COMPUTED_VALUE"""),"好食好事加速器")</f>
        <v>好食好事加速器</v>
      </c>
      <c r="C134" s="3"/>
    </row>
    <row r="135">
      <c r="A135" s="2" t="str">
        <f>IFERROR(__xludf.DUMMYFUNCTION("""COMPUTED_VALUE"""),"A0858")</f>
        <v>A0858</v>
      </c>
      <c r="B135" s="3" t="str">
        <f>IFERROR(__xludf.DUMMYFUNCTION("""COMPUTED_VALUE"""),"Garage+")</f>
        <v>Garage+</v>
      </c>
      <c r="C135" s="3"/>
    </row>
    <row r="136">
      <c r="A136" s="2" t="str">
        <f>IFERROR(__xludf.DUMMYFUNCTION("""COMPUTED_VALUE"""),"A0864")</f>
        <v>A0864</v>
      </c>
      <c r="B136" s="3" t="str">
        <f>IFERROR(__xludf.DUMMYFUNCTION("""COMPUTED_VALUE"""),"資育股份有限公司")</f>
        <v>資育股份有限公司</v>
      </c>
      <c r="C136" s="3"/>
    </row>
    <row r="137">
      <c r="A137" s="2" t="str">
        <f>IFERROR(__xludf.DUMMYFUNCTION("""COMPUTED_VALUE"""),"A0866")</f>
        <v>A0866</v>
      </c>
      <c r="B137" s="3" t="str">
        <f>IFERROR(__xludf.DUMMYFUNCTION("""COMPUTED_VALUE"""),"尚未報名/媒合中")</f>
        <v>尚未報名/媒合中</v>
      </c>
      <c r="C137" s="3"/>
    </row>
    <row r="138">
      <c r="A138" s="2" t="str">
        <f>IFERROR(__xludf.DUMMYFUNCTION("""COMPUTED_VALUE"""),"A0872")</f>
        <v>A0872</v>
      </c>
      <c r="B138" s="3" t="str">
        <f>IFERROR(__xludf.DUMMYFUNCTION("""COMPUTED_VALUE"""),"扶田資本股份有限公司")</f>
        <v>扶田資本股份有限公司</v>
      </c>
      <c r="C138" s="3"/>
    </row>
    <row r="139">
      <c r="A139" s="2" t="str">
        <f>IFERROR(__xludf.DUMMYFUNCTION("""COMPUTED_VALUE"""),"A0880")</f>
        <v>A0880</v>
      </c>
      <c r="B139" s="3" t="str">
        <f>IFERROR(__xludf.DUMMYFUNCTION("""COMPUTED_VALUE"""),"聯合創新加速器")</f>
        <v>聯合創新加速器</v>
      </c>
      <c r="C139" s="3"/>
    </row>
    <row r="140">
      <c r="A140" s="2" t="str">
        <f>IFERROR(__xludf.DUMMYFUNCTION("""COMPUTED_VALUE"""),"A0886")</f>
        <v>A0886</v>
      </c>
      <c r="B140" s="3" t="str">
        <f>IFERROR(__xludf.DUMMYFUNCTION("""COMPUTED_VALUE"""),"安永聯合會計師事務所")</f>
        <v>安永聯合會計師事務所</v>
      </c>
      <c r="C140" s="3"/>
    </row>
    <row r="141">
      <c r="A141" s="2" t="str">
        <f>IFERROR(__xludf.DUMMYFUNCTION("""COMPUTED_VALUE"""),"A0892")</f>
        <v>A0892</v>
      </c>
      <c r="B141" s="3" t="str">
        <f>IFERROR(__xludf.DUMMYFUNCTION("""COMPUTED_VALUE"""),"台灣智慧雲端服務股份有限公司（台智雲）")</f>
        <v>台灣智慧雲端服務股份有限公司（台智雲）</v>
      </c>
      <c r="C141" s="3"/>
    </row>
    <row r="142">
      <c r="A142" s="2" t="str">
        <f>IFERROR(__xludf.DUMMYFUNCTION("""COMPUTED_VALUE"""),"A0896")</f>
        <v>A0896</v>
      </c>
      <c r="B142" s="3" t="str">
        <f>IFERROR(__xludf.DUMMYFUNCTION("""COMPUTED_VALUE"""),"Muse Builder")</f>
        <v>Muse Builder</v>
      </c>
      <c r="C142" s="3"/>
    </row>
    <row r="143">
      <c r="A143" s="2" t="str">
        <f>IFERROR(__xludf.DUMMYFUNCTION("""COMPUTED_VALUE"""),"A0905")</f>
        <v>A0905</v>
      </c>
      <c r="B143" s="3" t="str">
        <f>IFERROR(__xludf.DUMMYFUNCTION("""COMPUTED_VALUE"""),"尚未報名/媒合中")</f>
        <v>尚未報名/媒合中</v>
      </c>
      <c r="C143" s="3"/>
    </row>
    <row r="144">
      <c r="A144" s="2" t="str">
        <f>IFERROR(__xludf.DUMMYFUNCTION("""COMPUTED_VALUE"""),"A0907")</f>
        <v>A0907</v>
      </c>
      <c r="B144" s="3" t="str">
        <f>IFERROR(__xludf.DUMMYFUNCTION("""COMPUTED_VALUE"""),"SparkLabs Taiwan 斯伯克國際創業投資有限公司")</f>
        <v>SparkLabs Taiwan 斯伯克國際創業投資有限公司</v>
      </c>
      <c r="C144" s="3"/>
    </row>
    <row r="145">
      <c r="A145" s="2" t="str">
        <f>IFERROR(__xludf.DUMMYFUNCTION("""COMPUTED_VALUE"""),"A0921")</f>
        <v>A0921</v>
      </c>
      <c r="B145" s="3" t="str">
        <f>IFERROR(__xludf.DUMMYFUNCTION("""COMPUTED_VALUE"""),"好食好事加速器")</f>
        <v>好食好事加速器</v>
      </c>
      <c r="C145" s="3"/>
    </row>
    <row r="146">
      <c r="A146" s="2" t="str">
        <f>IFERROR(__xludf.DUMMYFUNCTION("""COMPUTED_VALUE"""),"A0927")</f>
        <v>A0927</v>
      </c>
      <c r="B146" s="3" t="str">
        <f>IFERROR(__xludf.DUMMYFUNCTION("""COMPUTED_VALUE"""),"尚未報名/媒合中")</f>
        <v>尚未報名/媒合中</v>
      </c>
      <c r="C146" s="3"/>
    </row>
    <row r="147">
      <c r="A147" s="2" t="str">
        <f>IFERROR(__xludf.DUMMYFUNCTION("""COMPUTED_VALUE"""),"A0943")</f>
        <v>A0943</v>
      </c>
      <c r="B147" s="3" t="str">
        <f>IFERROR(__xludf.DUMMYFUNCTION("""COMPUTED_VALUE"""),"好食好事加速器")</f>
        <v>好食好事加速器</v>
      </c>
      <c r="C147" s="3"/>
    </row>
    <row r="148">
      <c r="A148" s="2" t="str">
        <f>IFERROR(__xludf.DUMMYFUNCTION("""COMPUTED_VALUE"""),"A0964")</f>
        <v>A0964</v>
      </c>
      <c r="B148" s="3" t="str">
        <f>IFERROR(__xludf.DUMMYFUNCTION("""COMPUTED_VALUE"""),"SparkLabs Taiwan 斯伯克國際創業投資有限公司")</f>
        <v>SparkLabs Taiwan 斯伯克國際創業投資有限公司</v>
      </c>
      <c r="C148" s="3"/>
    </row>
    <row r="149">
      <c r="A149" s="2" t="str">
        <f>IFERROR(__xludf.DUMMYFUNCTION("""COMPUTED_VALUE"""),"A0972")</f>
        <v>A0972</v>
      </c>
      <c r="B149" s="3" t="str">
        <f>IFERROR(__xludf.DUMMYFUNCTION("""COMPUTED_VALUE"""),"生物技術開發中心(南港生技育成中心)")</f>
        <v>生物技術開發中心(南港生技育成中心)</v>
      </c>
      <c r="C149" s="3"/>
    </row>
    <row r="150">
      <c r="A150" s="2" t="str">
        <f>IFERROR(__xludf.DUMMYFUNCTION("""COMPUTED_VALUE"""),"A0973")</f>
        <v>A0973</v>
      </c>
      <c r="B150" s="3" t="str">
        <f>IFERROR(__xludf.DUMMYFUNCTION("""COMPUTED_VALUE"""),"尚未報名/媒合中")</f>
        <v>尚未報名/媒合中</v>
      </c>
      <c r="C150" s="3"/>
    </row>
    <row r="151">
      <c r="A151" s="2" t="str">
        <f>IFERROR(__xludf.DUMMYFUNCTION("""COMPUTED_VALUE"""),"A0997")</f>
        <v>A0997</v>
      </c>
      <c r="B151" s="3"/>
      <c r="C151" s="3"/>
    </row>
    <row r="152">
      <c r="A152" s="2" t="str">
        <f>IFERROR(__xludf.DUMMYFUNCTION("""COMPUTED_VALUE"""),"A1012")</f>
        <v>A1012</v>
      </c>
      <c r="B152" s="3" t="str">
        <f>IFERROR(__xludf.DUMMYFUNCTION("""COMPUTED_VALUE"""),"尚未報名/媒合中")</f>
        <v>尚未報名/媒合中</v>
      </c>
      <c r="C152" s="3"/>
    </row>
    <row r="153">
      <c r="A153" s="2" t="str">
        <f>IFERROR(__xludf.DUMMYFUNCTION("""COMPUTED_VALUE"""),"A1018")</f>
        <v>A1018</v>
      </c>
      <c r="B153" s="3" t="str">
        <f>IFERROR(__xludf.DUMMYFUNCTION("""COMPUTED_VALUE"""),"Mighty Net(邁特創新基地)")</f>
        <v>Mighty Net(邁特創新基地)</v>
      </c>
      <c r="C153" s="3"/>
    </row>
    <row r="154">
      <c r="A154" s="2" t="str">
        <f>IFERROR(__xludf.DUMMYFUNCTION("""COMPUTED_VALUE"""),"A1020")</f>
        <v>A1020</v>
      </c>
      <c r="B154" s="3" t="str">
        <f>IFERROR(__xludf.DUMMYFUNCTION("""COMPUTED_VALUE"""),"SparkLabs Taiwan 斯伯克國際創業投資有限公司")</f>
        <v>SparkLabs Taiwan 斯伯克國際創業投資有限公司</v>
      </c>
      <c r="C154" s="3"/>
    </row>
    <row r="155">
      <c r="A155" s="2" t="str">
        <f>IFERROR(__xludf.DUMMYFUNCTION("""COMPUTED_VALUE"""),"A1022")</f>
        <v>A1022</v>
      </c>
      <c r="B155" s="3" t="str">
        <f>IFERROR(__xludf.DUMMYFUNCTION("""COMPUTED_VALUE"""),"Muse Builder")</f>
        <v>Muse Builder</v>
      </c>
      <c r="C155" s="3"/>
    </row>
    <row r="156">
      <c r="A156" s="2" t="str">
        <f>IFERROR(__xludf.DUMMYFUNCTION("""COMPUTED_VALUE"""),"A1023")</f>
        <v>A1023</v>
      </c>
      <c r="B156" s="3" t="str">
        <f>IFERROR(__xludf.DUMMYFUNCTION("""COMPUTED_VALUE"""),"StarFab (豪覓管理顧問股份有限公司)")</f>
        <v>StarFab (豪覓管理顧問股份有限公司)</v>
      </c>
      <c r="C156" s="3"/>
    </row>
    <row r="157">
      <c r="A157" s="2" t="str">
        <f>IFERROR(__xludf.DUMMYFUNCTION("""COMPUTED_VALUE"""),"A1024")</f>
        <v>A1024</v>
      </c>
      <c r="B157" s="3" t="str">
        <f>IFERROR(__xludf.DUMMYFUNCTION("""COMPUTED_VALUE"""),"尚未報名/媒合中")</f>
        <v>尚未報名/媒合中</v>
      </c>
      <c r="C157" s="3"/>
    </row>
    <row r="158">
      <c r="A158" s="2" t="str">
        <f>IFERROR(__xludf.DUMMYFUNCTION("""COMPUTED_VALUE"""),"A1026")</f>
        <v>A1026</v>
      </c>
      <c r="B158" s="3" t="str">
        <f>IFERROR(__xludf.DUMMYFUNCTION("""COMPUTED_VALUE"""),"好食好事加速器")</f>
        <v>好食好事加速器</v>
      </c>
      <c r="C158" s="3"/>
    </row>
    <row r="159">
      <c r="A159" s="2" t="str">
        <f>IFERROR(__xludf.DUMMYFUNCTION("""COMPUTED_VALUE"""),"A1036")</f>
        <v>A1036</v>
      </c>
      <c r="B159" s="3" t="str">
        <f>IFERROR(__xludf.DUMMYFUNCTION("""COMPUTED_VALUE"""),"扶田資本股份有限公司")</f>
        <v>扶田資本股份有限公司</v>
      </c>
      <c r="C159" s="3"/>
    </row>
    <row r="160">
      <c r="A160" s="2" t="str">
        <f>IFERROR(__xludf.DUMMYFUNCTION("""COMPUTED_VALUE"""),"A1043")</f>
        <v>A1043</v>
      </c>
      <c r="B160" s="3" t="str">
        <f>IFERROR(__xludf.DUMMYFUNCTION("""COMPUTED_VALUE"""),"國立陽明交通大學產業加速器暨專利開發策略中心")</f>
        <v>國立陽明交通大學產業加速器暨專利開發策略中心</v>
      </c>
      <c r="C160" s="3"/>
    </row>
    <row r="161">
      <c r="A161" s="2" t="str">
        <f>IFERROR(__xludf.DUMMYFUNCTION("""COMPUTED_VALUE"""),"A1047")</f>
        <v>A1047</v>
      </c>
      <c r="B161" s="3" t="str">
        <f>IFERROR(__xludf.DUMMYFUNCTION("""COMPUTED_VALUE"""),"尚未報名/媒合中")</f>
        <v>尚未報名/媒合中</v>
      </c>
      <c r="C161" s="3"/>
    </row>
    <row r="162">
      <c r="A162" s="2" t="str">
        <f>IFERROR(__xludf.DUMMYFUNCTION("""COMPUTED_VALUE"""),"A1054")</f>
        <v>A1054</v>
      </c>
      <c r="B162" s="3" t="str">
        <f>IFERROR(__xludf.DUMMYFUNCTION("""COMPUTED_VALUE"""),"好食好事加速器")</f>
        <v>好食好事加速器</v>
      </c>
      <c r="C162" s="3"/>
    </row>
    <row r="163">
      <c r="A163" s="2" t="str">
        <f>IFERROR(__xludf.DUMMYFUNCTION("""COMPUTED_VALUE"""),"A1059")</f>
        <v>A1059</v>
      </c>
      <c r="B163" s="3" t="str">
        <f>IFERROR(__xludf.DUMMYFUNCTION("""COMPUTED_VALUE"""),"SparkLabs Taiwan 斯伯克國際創業投資有限公司")</f>
        <v>SparkLabs Taiwan 斯伯克國際創業投資有限公司</v>
      </c>
      <c r="C163" s="3"/>
    </row>
    <row r="164">
      <c r="A164" s="2" t="str">
        <f>IFERROR(__xludf.DUMMYFUNCTION("""COMPUTED_VALUE"""),"A1061")</f>
        <v>A1061</v>
      </c>
      <c r="B164" s="3" t="str">
        <f>IFERROR(__xludf.DUMMYFUNCTION("""COMPUTED_VALUE"""),"資誠聯合會計師事務所")</f>
        <v>資誠聯合會計師事務所</v>
      </c>
      <c r="C164" s="3"/>
    </row>
    <row r="165">
      <c r="A165" s="2" t="str">
        <f>IFERROR(__xludf.DUMMYFUNCTION("""COMPUTED_VALUE"""),"A1064")</f>
        <v>A1064</v>
      </c>
      <c r="B165" s="3" t="str">
        <f>IFERROR(__xludf.DUMMYFUNCTION("""COMPUTED_VALUE"""),"StarFab (豪覓管理顧問股份有限公司)")</f>
        <v>StarFab (豪覓管理顧問股份有限公司)</v>
      </c>
      <c r="C165" s="3"/>
    </row>
    <row r="166">
      <c r="A166" s="2" t="str">
        <f>IFERROR(__xludf.DUMMYFUNCTION("""COMPUTED_VALUE"""),"A1077")</f>
        <v>A1077</v>
      </c>
      <c r="B166" s="3" t="str">
        <f>IFERROR(__xludf.DUMMYFUNCTION("""COMPUTED_VALUE"""),"活水影響力投資")</f>
        <v>活水影響力投資</v>
      </c>
      <c r="C166" s="3"/>
    </row>
    <row r="167">
      <c r="A167" s="2" t="str">
        <f>IFERROR(__xludf.DUMMYFUNCTION("""COMPUTED_VALUE"""),"A1081")</f>
        <v>A1081</v>
      </c>
      <c r="B167" s="3" t="str">
        <f>IFERROR(__xludf.DUMMYFUNCTION("""COMPUTED_VALUE"""),"聯合創新加速器")</f>
        <v>聯合創新加速器</v>
      </c>
      <c r="C167" s="3"/>
    </row>
    <row r="168">
      <c r="A168" s="2" t="str">
        <f>IFERROR(__xludf.DUMMYFUNCTION("""COMPUTED_VALUE"""),"A1090")</f>
        <v>A1090</v>
      </c>
      <c r="B168" s="3" t="str">
        <f>IFERROR(__xludf.DUMMYFUNCTION("""COMPUTED_VALUE"""),"StarFab (豪覓管理顧問股份有限公司)")</f>
        <v>StarFab (豪覓管理顧問股份有限公司)</v>
      </c>
      <c r="C168" s="3"/>
    </row>
    <row r="169">
      <c r="A169" s="2" t="str">
        <f>IFERROR(__xludf.DUMMYFUNCTION("""COMPUTED_VALUE"""),"A1103")</f>
        <v>A1103</v>
      </c>
      <c r="B169" s="3" t="str">
        <f>IFERROR(__xludf.DUMMYFUNCTION("""COMPUTED_VALUE"""),"Muse Builder")</f>
        <v>Muse Builder</v>
      </c>
      <c r="C169" s="3"/>
    </row>
    <row r="170">
      <c r="A170" s="2" t="str">
        <f>IFERROR(__xludf.DUMMYFUNCTION("""COMPUTED_VALUE"""),"A1104")</f>
        <v>A1104</v>
      </c>
      <c r="B170" s="3" t="str">
        <f>IFERROR(__xludf.DUMMYFUNCTION("""COMPUTED_VALUE"""),"聯合創新加速器")</f>
        <v>聯合創新加速器</v>
      </c>
      <c r="C170" s="3"/>
    </row>
    <row r="171">
      <c r="A171" s="2" t="str">
        <f>IFERROR(__xludf.DUMMYFUNCTION("""COMPUTED_VALUE"""),"A1106")</f>
        <v>A1106</v>
      </c>
      <c r="B171" s="3" t="str">
        <f>IFERROR(__xludf.DUMMYFUNCTION("""COMPUTED_VALUE"""),"好食好事加速器")</f>
        <v>好食好事加速器</v>
      </c>
      <c r="C171" s="3"/>
    </row>
    <row r="172">
      <c r="A172" s="2" t="str">
        <f>IFERROR(__xludf.DUMMYFUNCTION("""COMPUTED_VALUE"""),"A1112")</f>
        <v>A1112</v>
      </c>
      <c r="B172" s="3" t="str">
        <f>IFERROR(__xludf.DUMMYFUNCTION("""COMPUTED_VALUE"""),"安永聯合會計師事務所")</f>
        <v>安永聯合會計師事務所</v>
      </c>
      <c r="C172" s="3"/>
    </row>
    <row r="173">
      <c r="A173" s="2" t="str">
        <f>IFERROR(__xludf.DUMMYFUNCTION("""COMPUTED_VALUE"""),"A1133")</f>
        <v>A1133</v>
      </c>
      <c r="B173" s="3" t="str">
        <f>IFERROR(__xludf.DUMMYFUNCTION("""COMPUTED_VALUE"""),"比翼生醫")</f>
        <v>比翼生醫</v>
      </c>
      <c r="C173" s="3"/>
    </row>
    <row r="174">
      <c r="A174" s="2" t="str">
        <f>IFERROR(__xludf.DUMMYFUNCTION("""COMPUTED_VALUE"""),"A1134")</f>
        <v>A1134</v>
      </c>
      <c r="B174" s="3" t="str">
        <f>IFERROR(__xludf.DUMMYFUNCTION("""COMPUTED_VALUE"""),"酷日國際有限公司")</f>
        <v>酷日國際有限公司</v>
      </c>
      <c r="C174" s="3"/>
    </row>
    <row r="175">
      <c r="A175" s="2" t="str">
        <f>IFERROR(__xludf.DUMMYFUNCTION("""COMPUTED_VALUE"""),"A1136")</f>
        <v>A1136</v>
      </c>
      <c r="B175" s="3" t="str">
        <f>IFERROR(__xludf.DUMMYFUNCTION("""COMPUTED_VALUE"""),"資誠聯合會計師事務所")</f>
        <v>資誠聯合會計師事務所</v>
      </c>
      <c r="C175" s="3"/>
    </row>
    <row r="176">
      <c r="A176" s="2" t="str">
        <f>IFERROR(__xludf.DUMMYFUNCTION("""COMPUTED_VALUE"""),"A1142")</f>
        <v>A1142</v>
      </c>
      <c r="B176" s="3" t="str">
        <f>IFERROR(__xludf.DUMMYFUNCTION("""COMPUTED_VALUE"""),"尚未報名/媒合中")</f>
        <v>尚未報名/媒合中</v>
      </c>
      <c r="C176" s="3"/>
    </row>
    <row r="177">
      <c r="A177" s="2" t="str">
        <f>IFERROR(__xludf.DUMMYFUNCTION("""COMPUTED_VALUE"""),"A1157")</f>
        <v>A1157</v>
      </c>
      <c r="B177" s="3" t="str">
        <f>IFERROR(__xludf.DUMMYFUNCTION("""COMPUTED_VALUE"""),"聯合創新加速器")</f>
        <v>聯合創新加速器</v>
      </c>
      <c r="C177" s="3"/>
    </row>
    <row r="178">
      <c r="A178" s="2" t="str">
        <f>IFERROR(__xludf.DUMMYFUNCTION("""COMPUTED_VALUE"""),"A1181")</f>
        <v>A1181</v>
      </c>
      <c r="B178" s="3" t="str">
        <f>IFERROR(__xludf.DUMMYFUNCTION("""COMPUTED_VALUE"""),"尚未報名/媒合中")</f>
        <v>尚未報名/媒合中</v>
      </c>
      <c r="C178" s="3"/>
    </row>
    <row r="179">
      <c r="A179" s="2" t="str">
        <f>IFERROR(__xludf.DUMMYFUNCTION("""COMPUTED_VALUE"""),"A1187")</f>
        <v>A1187</v>
      </c>
      <c r="B179" s="3" t="str">
        <f>IFERROR(__xludf.DUMMYFUNCTION("""COMPUTED_VALUE"""),"酷日國際有限公司")</f>
        <v>酷日國際有限公司</v>
      </c>
      <c r="C179" s="3"/>
    </row>
    <row r="180">
      <c r="A180" s="2" t="str">
        <f>IFERROR(__xludf.DUMMYFUNCTION("""COMPUTED_VALUE"""),"A1192")</f>
        <v>A1192</v>
      </c>
      <c r="B180" s="3" t="str">
        <f>IFERROR(__xludf.DUMMYFUNCTION("""COMPUTED_VALUE"""),"比翼生醫")</f>
        <v>比翼生醫</v>
      </c>
      <c r="C180" s="3"/>
    </row>
    <row r="181">
      <c r="A181" s="2" t="str">
        <f>IFERROR(__xludf.DUMMYFUNCTION("""COMPUTED_VALUE"""),"A1197")</f>
        <v>A1197</v>
      </c>
      <c r="B181" s="3" t="str">
        <f>IFERROR(__xludf.DUMMYFUNCTION("""COMPUTED_VALUE"""),"國立陽明交通大學產業加速器暨專利開發策略中心")</f>
        <v>國立陽明交通大學產業加速器暨專利開發策略中心</v>
      </c>
      <c r="C181" s="3"/>
    </row>
    <row r="182">
      <c r="A182" s="2" t="str">
        <f>IFERROR(__xludf.DUMMYFUNCTION("""COMPUTED_VALUE"""),"A1198")</f>
        <v>A1198</v>
      </c>
      <c r="B182" s="3" t="str">
        <f>IFERROR(__xludf.DUMMYFUNCTION("""COMPUTED_VALUE"""),"好食好事加速器")</f>
        <v>好食好事加速器</v>
      </c>
      <c r="C182" s="3"/>
    </row>
    <row r="183">
      <c r="A183" s="2" t="str">
        <f>IFERROR(__xludf.DUMMYFUNCTION("""COMPUTED_VALUE"""),"A1200")</f>
        <v>A1200</v>
      </c>
      <c r="B183" s="3" t="str">
        <f>IFERROR(__xludf.DUMMYFUNCTION("""COMPUTED_VALUE"""),"國立陽明交通大學產業加速器暨專利開發策略中心")</f>
        <v>國立陽明交通大學產業加速器暨專利開發策略中心</v>
      </c>
      <c r="C183" s="3"/>
    </row>
    <row r="184">
      <c r="A184" s="2" t="str">
        <f>IFERROR(__xludf.DUMMYFUNCTION("""COMPUTED_VALUE"""),"A1202")</f>
        <v>A1202</v>
      </c>
      <c r="B184" s="3" t="str">
        <f>IFERROR(__xludf.DUMMYFUNCTION("""COMPUTED_VALUE"""),"SparkLabs Taiwan 斯伯克國際創業投資有限公司")</f>
        <v>SparkLabs Taiwan 斯伯克國際創業投資有限公司</v>
      </c>
      <c r="C184" s="3"/>
    </row>
    <row r="185">
      <c r="A185" s="2" t="str">
        <f>IFERROR(__xludf.DUMMYFUNCTION("""COMPUTED_VALUE"""),"A1219")</f>
        <v>A1219</v>
      </c>
      <c r="B185" s="3" t="str">
        <f>IFERROR(__xludf.DUMMYFUNCTION("""COMPUTED_VALUE"""),"酷日國際有限公司")</f>
        <v>酷日國際有限公司</v>
      </c>
      <c r="C185" s="3"/>
    </row>
    <row r="186">
      <c r="A186" s="2" t="str">
        <f>IFERROR(__xludf.DUMMYFUNCTION("""COMPUTED_VALUE"""),"A1220")</f>
        <v>A1220</v>
      </c>
      <c r="B186" s="3" t="str">
        <f>IFERROR(__xludf.DUMMYFUNCTION("""COMPUTED_VALUE"""),"好食好事加速器")</f>
        <v>好食好事加速器</v>
      </c>
      <c r="C186" s="3"/>
    </row>
    <row r="187">
      <c r="A187" s="2" t="str">
        <f>IFERROR(__xludf.DUMMYFUNCTION("""COMPUTED_VALUE"""),"A1228")</f>
        <v>A1228</v>
      </c>
      <c r="B187" s="3" t="str">
        <f>IFERROR(__xludf.DUMMYFUNCTION("""COMPUTED_VALUE"""),"尚未報名/媒合中")</f>
        <v>尚未報名/媒合中</v>
      </c>
      <c r="C187" s="3"/>
    </row>
    <row r="188">
      <c r="A188" s="2" t="str">
        <f>IFERROR(__xludf.DUMMYFUNCTION("""COMPUTED_VALUE"""),"A1236")</f>
        <v>A1236</v>
      </c>
      <c r="B188" s="3" t="str">
        <f>IFERROR(__xludf.DUMMYFUNCTION("""COMPUTED_VALUE"""),"尚未報名/媒合中")</f>
        <v>尚未報名/媒合中</v>
      </c>
      <c r="C188" s="3"/>
    </row>
    <row r="189">
      <c r="A189" s="2" t="str">
        <f>IFERROR(__xludf.DUMMYFUNCTION("""COMPUTED_VALUE"""),"A1257")</f>
        <v>A1257</v>
      </c>
      <c r="B189" s="3" t="str">
        <f>IFERROR(__xludf.DUMMYFUNCTION("""COMPUTED_VALUE"""),"SparkLabs Taiwan 斯伯克國際創業投資有限公司")</f>
        <v>SparkLabs Taiwan 斯伯克國際創業投資有限公司</v>
      </c>
      <c r="C189" s="3"/>
    </row>
    <row r="190">
      <c r="A190" s="2" t="str">
        <f>IFERROR(__xludf.DUMMYFUNCTION("""COMPUTED_VALUE"""),"A1273")</f>
        <v>A1273</v>
      </c>
      <c r="B190" s="3" t="str">
        <f>IFERROR(__xludf.DUMMYFUNCTION("""COMPUTED_VALUE"""),"Muse Builder")</f>
        <v>Muse Builder</v>
      </c>
      <c r="C190" s="3"/>
    </row>
    <row r="191">
      <c r="A191" s="2" t="str">
        <f>IFERROR(__xludf.DUMMYFUNCTION("""COMPUTED_VALUE"""),"A1277")</f>
        <v>A1277</v>
      </c>
      <c r="B191" s="3" t="str">
        <f>IFERROR(__xludf.DUMMYFUNCTION("""COMPUTED_VALUE"""),"Garage+")</f>
        <v>Garage+</v>
      </c>
      <c r="C191" s="3"/>
    </row>
    <row r="192">
      <c r="A192" s="2" t="str">
        <f>IFERROR(__xludf.DUMMYFUNCTION("""COMPUTED_VALUE"""),"A1284")</f>
        <v>A1284</v>
      </c>
      <c r="B192" s="3" t="str">
        <f>IFERROR(__xludf.DUMMYFUNCTION("""COMPUTED_VALUE"""),"Mosaic Venture Lab 宇斻管理顧問股份有限公司")</f>
        <v>Mosaic Venture Lab 宇斻管理顧問股份有限公司</v>
      </c>
      <c r="C192" s="3"/>
    </row>
    <row r="193">
      <c r="A193" s="2" t="str">
        <f>IFERROR(__xludf.DUMMYFUNCTION("""COMPUTED_VALUE"""),"A1301")</f>
        <v>A1301</v>
      </c>
      <c r="B193" s="3" t="str">
        <f>IFERROR(__xludf.DUMMYFUNCTION("""COMPUTED_VALUE"""),"SparkLabs Taiwan 斯伯克國際創業投資有限公司")</f>
        <v>SparkLabs Taiwan 斯伯克國際創業投資有限公司</v>
      </c>
      <c r="C193" s="3"/>
    </row>
    <row r="194">
      <c r="A194" s="2" t="str">
        <f>IFERROR(__xludf.DUMMYFUNCTION("""COMPUTED_VALUE"""),"A1313")</f>
        <v>A1313</v>
      </c>
      <c r="B194" s="3" t="str">
        <f>IFERROR(__xludf.DUMMYFUNCTION("""COMPUTED_VALUE"""),"資誠聯合會計師事務所")</f>
        <v>資誠聯合會計師事務所</v>
      </c>
      <c r="C194" s="3"/>
    </row>
    <row r="195">
      <c r="A195" s="2" t="str">
        <f>IFERROR(__xludf.DUMMYFUNCTION("""COMPUTED_VALUE"""),"A1326")</f>
        <v>A1326</v>
      </c>
      <c r="B195" s="3" t="str">
        <f>IFERROR(__xludf.DUMMYFUNCTION("""COMPUTED_VALUE"""),"資誠聯合會計師事務所")</f>
        <v>資誠聯合會計師事務所</v>
      </c>
      <c r="C195" s="3"/>
    </row>
    <row r="196">
      <c r="A196" s="2" t="str">
        <f>IFERROR(__xludf.DUMMYFUNCTION("""COMPUTED_VALUE"""),"A1342")</f>
        <v>A1342</v>
      </c>
      <c r="B196" s="3" t="str">
        <f>IFERROR(__xludf.DUMMYFUNCTION("""COMPUTED_VALUE"""),"聯合創新加速器")</f>
        <v>聯合創新加速器</v>
      </c>
      <c r="C196" s="3"/>
    </row>
    <row r="197">
      <c r="A197" s="2" t="str">
        <f>IFERROR(__xludf.DUMMYFUNCTION("""COMPUTED_VALUE"""),"A1343")</f>
        <v>A1343</v>
      </c>
      <c r="B197" s="3" t="str">
        <f>IFERROR(__xludf.DUMMYFUNCTION("""COMPUTED_VALUE"""),"Muse Builder")</f>
        <v>Muse Builder</v>
      </c>
      <c r="C197" s="3"/>
    </row>
    <row r="198">
      <c r="A198" s="2" t="str">
        <f>IFERROR(__xludf.DUMMYFUNCTION("""COMPUTED_VALUE"""),"A1348")</f>
        <v>A1348</v>
      </c>
      <c r="B198" s="3" t="str">
        <f>IFERROR(__xludf.DUMMYFUNCTION("""COMPUTED_VALUE"""),"尚未報名/媒合中")</f>
        <v>尚未報名/媒合中</v>
      </c>
      <c r="C198" s="3"/>
    </row>
    <row r="199">
      <c r="A199" s="2" t="str">
        <f>IFERROR(__xludf.DUMMYFUNCTION("""COMPUTED_VALUE"""),"A1355")</f>
        <v>A1355</v>
      </c>
      <c r="B199" s="3" t="str">
        <f>IFERROR(__xludf.DUMMYFUNCTION("""COMPUTED_VALUE"""),"尚未報名/媒合中")</f>
        <v>尚未報名/媒合中</v>
      </c>
      <c r="C199" s="3"/>
    </row>
    <row r="200">
      <c r="A200" s="2" t="str">
        <f>IFERROR(__xludf.DUMMYFUNCTION("""COMPUTED_VALUE"""),"A1361")</f>
        <v>A1361</v>
      </c>
      <c r="B200" s="3" t="str">
        <f>IFERROR(__xludf.DUMMYFUNCTION("""COMPUTED_VALUE"""),"尚未報名/媒合中")</f>
        <v>尚未報名/媒合中</v>
      </c>
      <c r="C200" s="3"/>
    </row>
    <row r="201">
      <c r="A201" s="2" t="str">
        <f>IFERROR(__xludf.DUMMYFUNCTION("""COMPUTED_VALUE"""),"A1367")</f>
        <v>A1367</v>
      </c>
      <c r="B201" s="3" t="str">
        <f>IFERROR(__xludf.DUMMYFUNCTION("""COMPUTED_VALUE"""),"資誠聯合會計師事務所")</f>
        <v>資誠聯合會計師事務所</v>
      </c>
      <c r="C201" s="3"/>
    </row>
    <row r="202">
      <c r="A202" s="2" t="str">
        <f>IFERROR(__xludf.DUMMYFUNCTION("""COMPUTED_VALUE"""),"A1377")</f>
        <v>A1377</v>
      </c>
      <c r="B202" s="3" t="str">
        <f>IFERROR(__xludf.DUMMYFUNCTION("""COMPUTED_VALUE"""),"扶田資本股份有限公司")</f>
        <v>扶田資本股份有限公司</v>
      </c>
      <c r="C202" s="3"/>
    </row>
    <row r="203">
      <c r="A203" s="2" t="str">
        <f>IFERROR(__xludf.DUMMYFUNCTION("""COMPUTED_VALUE"""),"A1405")</f>
        <v>A1405</v>
      </c>
      <c r="B203" s="3" t="str">
        <f>IFERROR(__xludf.DUMMYFUNCTION("""COMPUTED_VALUE"""),"SparkLabs Taiwan 斯伯克國際創業投資有限公司")</f>
        <v>SparkLabs Taiwan 斯伯克國際創業投資有限公司</v>
      </c>
      <c r="C203" s="3"/>
    </row>
    <row r="204">
      <c r="A204" s="2" t="str">
        <f>IFERROR(__xludf.DUMMYFUNCTION("""COMPUTED_VALUE"""),"A1421")</f>
        <v>A1421</v>
      </c>
      <c r="B204" s="3" t="str">
        <f>IFERROR(__xludf.DUMMYFUNCTION("""COMPUTED_VALUE"""),"酷日國際有限公司")</f>
        <v>酷日國際有限公司</v>
      </c>
      <c r="C204" s="3"/>
    </row>
    <row r="205">
      <c r="A205" s="2" t="str">
        <f>IFERROR(__xludf.DUMMYFUNCTION("""COMPUTED_VALUE"""),"A1464")</f>
        <v>A1464</v>
      </c>
      <c r="B205" s="3" t="str">
        <f>IFERROR(__xludf.DUMMYFUNCTION("""COMPUTED_VALUE"""),"SparkLabs Taiwan 斯伯克國際創業投資有限公司")</f>
        <v>SparkLabs Taiwan 斯伯克國際創業投資有限公司</v>
      </c>
      <c r="C205" s="3"/>
    </row>
    <row r="206">
      <c r="A206" s="2" t="str">
        <f>IFERROR(__xludf.DUMMYFUNCTION("""COMPUTED_VALUE"""),"A1491")</f>
        <v>A1491</v>
      </c>
      <c r="B206" s="3" t="str">
        <f>IFERROR(__xludf.DUMMYFUNCTION("""COMPUTED_VALUE"""),"購威經濟股份有限公司(智慧高軟)")</f>
        <v>購威經濟股份有限公司(智慧高軟)</v>
      </c>
      <c r="C206" s="3"/>
    </row>
    <row r="207">
      <c r="A207" s="2" t="str">
        <f>IFERROR(__xludf.DUMMYFUNCTION("""COMPUTED_VALUE"""),"A1577")</f>
        <v>A1577</v>
      </c>
      <c r="B207" s="3" t="str">
        <f>IFERROR(__xludf.DUMMYFUNCTION("""COMPUTED_VALUE"""),"Mosaic Venture Lab 宇斻管理顧問股份有限公司")</f>
        <v>Mosaic Venture Lab 宇斻管理顧問股份有限公司</v>
      </c>
      <c r="C207" s="3"/>
    </row>
    <row r="208">
      <c r="A208" s="2" t="str">
        <f>IFERROR(__xludf.DUMMYFUNCTION("""COMPUTED_VALUE"""),"A1579")</f>
        <v>A1579</v>
      </c>
      <c r="B208" s="3" t="str">
        <f>IFERROR(__xludf.DUMMYFUNCTION("""COMPUTED_VALUE"""),"台灣智慧雲端服務股份有限公司（台智雲）")</f>
        <v>台灣智慧雲端服務股份有限公司（台智雲）</v>
      </c>
      <c r="C208" s="3"/>
    </row>
    <row r="209">
      <c r="A209" s="2" t="str">
        <f>IFERROR(__xludf.DUMMYFUNCTION("""COMPUTED_VALUE"""),"A1590")</f>
        <v>A1590</v>
      </c>
      <c r="B209" s="3"/>
      <c r="C209" s="3"/>
    </row>
    <row r="210">
      <c r="A210" s="2" t="str">
        <f>IFERROR(__xludf.DUMMYFUNCTION("""COMPUTED_VALUE"""),"A1631")</f>
        <v>A1631</v>
      </c>
      <c r="B210" s="3" t="str">
        <f>IFERROR(__xludf.DUMMYFUNCTION("""COMPUTED_VALUE"""),"尚未報名/媒合中")</f>
        <v>尚未報名/媒合中</v>
      </c>
      <c r="C210" s="3"/>
    </row>
    <row r="211">
      <c r="A211" s="2" t="str">
        <f>IFERROR(__xludf.DUMMYFUNCTION("""COMPUTED_VALUE"""),"B0012")</f>
        <v>B0012</v>
      </c>
      <c r="B211" s="3" t="str">
        <f>IFERROR(__xludf.DUMMYFUNCTION("""COMPUTED_VALUE"""),"扶田資本股份有限公司")</f>
        <v>扶田資本股份有限公司</v>
      </c>
      <c r="C211" s="3"/>
    </row>
    <row r="212">
      <c r="A212" s="2" t="str">
        <f>IFERROR(__xludf.DUMMYFUNCTION("""COMPUTED_VALUE"""),"B0016")</f>
        <v>B0016</v>
      </c>
      <c r="B212" s="3" t="str">
        <f>IFERROR(__xludf.DUMMYFUNCTION("""COMPUTED_VALUE"""),"SparkLabs Taiwan 斯伯克國際創業投資有限公司")</f>
        <v>SparkLabs Taiwan 斯伯克國際創業投資有限公司</v>
      </c>
      <c r="C212" s="3"/>
    </row>
    <row r="213">
      <c r="A213" s="2" t="str">
        <f>IFERROR(__xludf.DUMMYFUNCTION("""COMPUTED_VALUE"""),"B0019")</f>
        <v>B0019</v>
      </c>
      <c r="B213" s="3" t="str">
        <f>IFERROR(__xludf.DUMMYFUNCTION("""COMPUTED_VALUE"""),"Muse Builder")</f>
        <v>Muse Builder</v>
      </c>
      <c r="C213" s="3"/>
    </row>
    <row r="214">
      <c r="A214" s="2" t="str">
        <f>IFERROR(__xludf.DUMMYFUNCTION("""COMPUTED_VALUE"""),"B0050")</f>
        <v>B0050</v>
      </c>
      <c r="B214" s="3" t="str">
        <f>IFERROR(__xludf.DUMMYFUNCTION("""COMPUTED_VALUE"""),"StarFab (豪覓管理顧問股份有限公司)")</f>
        <v>StarFab (豪覓管理顧問股份有限公司)</v>
      </c>
      <c r="C214" s="3"/>
    </row>
    <row r="215">
      <c r="A215" s="2" t="str">
        <f>IFERROR(__xludf.DUMMYFUNCTION("""COMPUTED_VALUE"""),"B0055")</f>
        <v>B0055</v>
      </c>
      <c r="B215" s="3" t="str">
        <f>IFERROR(__xludf.DUMMYFUNCTION("""COMPUTED_VALUE"""),"Garage+")</f>
        <v>Garage+</v>
      </c>
      <c r="C215" s="3"/>
    </row>
    <row r="216">
      <c r="A216" s="2" t="str">
        <f>IFERROR(__xludf.DUMMYFUNCTION("""COMPUTED_VALUE"""),"B0082")</f>
        <v>B0082</v>
      </c>
      <c r="B216" s="3" t="str">
        <f>IFERROR(__xludf.DUMMYFUNCTION("""COMPUTED_VALUE"""),"Muse Builder")</f>
        <v>Muse Builder</v>
      </c>
      <c r="C216" s="3"/>
    </row>
    <row r="217">
      <c r="A217" s="2" t="str">
        <f>IFERROR(__xludf.DUMMYFUNCTION("""COMPUTED_VALUE"""),"B0136")</f>
        <v>B0136</v>
      </c>
      <c r="B217" s="3" t="str">
        <f>IFERROR(__xludf.DUMMYFUNCTION("""COMPUTED_VALUE"""),"台灣智慧雲端服務股份有限公司（台智雲）")</f>
        <v>台灣智慧雲端服務股份有限公司（台智雲）</v>
      </c>
      <c r="C217" s="3"/>
    </row>
    <row r="218">
      <c r="A218" s="2" t="str">
        <f>IFERROR(__xludf.DUMMYFUNCTION("""COMPUTED_VALUE"""),"B0140")</f>
        <v>B0140</v>
      </c>
      <c r="B218" s="3" t="str">
        <f>IFERROR(__xludf.DUMMYFUNCTION("""COMPUTED_VALUE"""),"SparkLabs Taiwan 斯伯克國際創業投資有限公司")</f>
        <v>SparkLabs Taiwan 斯伯克國際創業投資有限公司</v>
      </c>
      <c r="C218" s="3"/>
    </row>
    <row r="219">
      <c r="A219" s="2" t="str">
        <f>IFERROR(__xludf.DUMMYFUNCTION("""COMPUTED_VALUE"""),"B0144")</f>
        <v>B0144</v>
      </c>
      <c r="B219" s="3" t="str">
        <f>IFERROR(__xludf.DUMMYFUNCTION("""COMPUTED_VALUE"""),"比翼生醫")</f>
        <v>比翼生醫</v>
      </c>
      <c r="C219" s="3"/>
    </row>
    <row r="220">
      <c r="A220" s="2" t="str">
        <f>IFERROR(__xludf.DUMMYFUNCTION("""COMPUTED_VALUE"""),"B0152")</f>
        <v>B0152</v>
      </c>
      <c r="B220" s="3" t="str">
        <f>IFERROR(__xludf.DUMMYFUNCTION("""COMPUTED_VALUE"""),"聯合創新加速器")</f>
        <v>聯合創新加速器</v>
      </c>
      <c r="C220" s="3"/>
    </row>
    <row r="221">
      <c r="A221" s="2" t="str">
        <f>IFERROR(__xludf.DUMMYFUNCTION("""COMPUTED_VALUE"""),"B0167")</f>
        <v>B0167</v>
      </c>
      <c r="B221" s="3" t="str">
        <f>IFERROR(__xludf.DUMMYFUNCTION("""COMPUTED_VALUE"""),"資誠聯合會計師事務所")</f>
        <v>資誠聯合會計師事務所</v>
      </c>
      <c r="C221" s="3"/>
    </row>
    <row r="222">
      <c r="A222" s="2" t="str">
        <f>IFERROR(__xludf.DUMMYFUNCTION("""COMPUTED_VALUE"""),"B0179")</f>
        <v>B0179</v>
      </c>
      <c r="B222" s="3" t="str">
        <f>IFERROR(__xludf.DUMMYFUNCTION("""COMPUTED_VALUE"""),"Garage+")</f>
        <v>Garage+</v>
      </c>
      <c r="C222" s="3"/>
    </row>
    <row r="223">
      <c r="A223" s="2" t="str">
        <f>IFERROR(__xludf.DUMMYFUNCTION("""COMPUTED_VALUE"""),"B0182")</f>
        <v>B0182</v>
      </c>
      <c r="B223" s="3" t="str">
        <f>IFERROR(__xludf.DUMMYFUNCTION("""COMPUTED_VALUE"""),"比翼生醫")</f>
        <v>比翼生醫</v>
      </c>
      <c r="C223" s="3"/>
    </row>
    <row r="224">
      <c r="A224" s="2" t="str">
        <f>IFERROR(__xludf.DUMMYFUNCTION("""COMPUTED_VALUE"""),"B0185")</f>
        <v>B0185</v>
      </c>
      <c r="B224" s="3" t="str">
        <f>IFERROR(__xludf.DUMMYFUNCTION("""COMPUTED_VALUE"""),"國立陽明交通大學產業加速器暨專利開發策略中心")</f>
        <v>國立陽明交通大學產業加速器暨專利開發策略中心</v>
      </c>
      <c r="C224" s="3"/>
    </row>
    <row r="225">
      <c r="A225" s="2" t="str">
        <f>IFERROR(__xludf.DUMMYFUNCTION("""COMPUTED_VALUE"""),"B0190")</f>
        <v>B0190</v>
      </c>
      <c r="B225" s="3"/>
      <c r="C225" s="3"/>
    </row>
    <row r="226">
      <c r="A226" s="2" t="str">
        <f>IFERROR(__xludf.DUMMYFUNCTION("""COMPUTED_VALUE"""),"B0208")</f>
        <v>B0208</v>
      </c>
      <c r="B226" s="3" t="str">
        <f>IFERROR(__xludf.DUMMYFUNCTION("""COMPUTED_VALUE"""),"國家衛生研究院/ 創新育成中心")</f>
        <v>國家衛生研究院/ 創新育成中心</v>
      </c>
      <c r="C226" s="3"/>
    </row>
    <row r="227">
      <c r="A227" s="2" t="str">
        <f>IFERROR(__xludf.DUMMYFUNCTION("""COMPUTED_VALUE"""),"B0222")</f>
        <v>B0222</v>
      </c>
      <c r="B227" s="3" t="str">
        <f>IFERROR(__xludf.DUMMYFUNCTION("""COMPUTED_VALUE"""),"資育股份有限公司")</f>
        <v>資育股份有限公司</v>
      </c>
      <c r="C227" s="3"/>
    </row>
    <row r="228">
      <c r="A228" s="2" t="str">
        <f>IFERROR(__xludf.DUMMYFUNCTION("""COMPUTED_VALUE"""),"B0233")</f>
        <v>B0233</v>
      </c>
      <c r="B228" s="3" t="str">
        <f>IFERROR(__xludf.DUMMYFUNCTION("""COMPUTED_VALUE"""),"國家衛生研究院/ 創新育成中心")</f>
        <v>國家衛生研究院/ 創新育成中心</v>
      </c>
      <c r="C228" s="3"/>
    </row>
    <row r="229">
      <c r="A229" s="2" t="str">
        <f>IFERROR(__xludf.DUMMYFUNCTION("""COMPUTED_VALUE"""),"B0253")</f>
        <v>B0253</v>
      </c>
      <c r="B229" s="3" t="str">
        <f>IFERROR(__xludf.DUMMYFUNCTION("""COMPUTED_VALUE"""),"比翼生醫")</f>
        <v>比翼生醫</v>
      </c>
      <c r="C229" s="3"/>
    </row>
    <row r="230">
      <c r="A230" s="2" t="str">
        <f>IFERROR(__xludf.DUMMYFUNCTION("""COMPUTED_VALUE"""),"B0259")</f>
        <v>B0259</v>
      </c>
      <c r="B230" s="3" t="str">
        <f>IFERROR(__xludf.DUMMYFUNCTION("""COMPUTED_VALUE"""),"尚未報名/媒合中")</f>
        <v>尚未報名/媒合中</v>
      </c>
      <c r="C230" s="3"/>
    </row>
    <row r="231">
      <c r="A231" s="2" t="str">
        <f>IFERROR(__xludf.DUMMYFUNCTION("""COMPUTED_VALUE"""),"B0274")</f>
        <v>B0274</v>
      </c>
      <c r="B231" s="3" t="str">
        <f>IFERROR(__xludf.DUMMYFUNCTION("""COMPUTED_VALUE"""),"SparkLabs Taiwan 斯伯克國際創業投資有限公司")</f>
        <v>SparkLabs Taiwan 斯伯克國際創業投資有限公司</v>
      </c>
      <c r="C231" s="3"/>
    </row>
    <row r="232">
      <c r="A232" s="2" t="str">
        <f>IFERROR(__xludf.DUMMYFUNCTION("""COMPUTED_VALUE"""),"B0305")</f>
        <v>B0305</v>
      </c>
      <c r="B232" s="3" t="str">
        <f>IFERROR(__xludf.DUMMYFUNCTION("""COMPUTED_VALUE"""),"好食好事加速器")</f>
        <v>好食好事加速器</v>
      </c>
      <c r="C232" s="3"/>
    </row>
    <row r="233">
      <c r="A233" s="2" t="str">
        <f>IFERROR(__xludf.DUMMYFUNCTION("""COMPUTED_VALUE"""),"B0321")</f>
        <v>B0321</v>
      </c>
      <c r="B233" s="3" t="str">
        <f>IFERROR(__xludf.DUMMYFUNCTION("""COMPUTED_VALUE"""),"安永聯合會計師事務所")</f>
        <v>安永聯合會計師事務所</v>
      </c>
      <c r="C233" s="3"/>
    </row>
    <row r="234">
      <c r="A234" s="2" t="str">
        <f>IFERROR(__xludf.DUMMYFUNCTION("""COMPUTED_VALUE"""),"B0344")</f>
        <v>B0344</v>
      </c>
      <c r="B234" s="3" t="str">
        <f>IFERROR(__xludf.DUMMYFUNCTION("""COMPUTED_VALUE"""),"購威經濟股份有限公司(智慧高軟)")</f>
        <v>購威經濟股份有限公司(智慧高軟)</v>
      </c>
      <c r="C234" s="3"/>
    </row>
    <row r="235">
      <c r="A235" s="2" t="str">
        <f>IFERROR(__xludf.DUMMYFUNCTION("""COMPUTED_VALUE"""),"B0354")</f>
        <v>B0354</v>
      </c>
      <c r="B235" s="3" t="str">
        <f>IFERROR(__xludf.DUMMYFUNCTION("""COMPUTED_VALUE"""),"比翼生醫")</f>
        <v>比翼生醫</v>
      </c>
      <c r="C235" s="3"/>
    </row>
    <row r="236">
      <c r="A236" s="2" t="str">
        <f>IFERROR(__xludf.DUMMYFUNCTION("""COMPUTED_VALUE"""),"B0369")</f>
        <v>B0369</v>
      </c>
      <c r="B236" s="3" t="str">
        <f>IFERROR(__xludf.DUMMYFUNCTION("""COMPUTED_VALUE"""),"尚未報名/媒合中")</f>
        <v>尚未報名/媒合中</v>
      </c>
      <c r="C236" s="3"/>
    </row>
    <row r="237">
      <c r="A237" s="2" t="str">
        <f>IFERROR(__xludf.DUMMYFUNCTION("""COMPUTED_VALUE"""),"B0398")</f>
        <v>B0398</v>
      </c>
      <c r="B237" s="3" t="str">
        <f>IFERROR(__xludf.DUMMYFUNCTION("""COMPUTED_VALUE"""),"博大國際智權股份有限公司")</f>
        <v>博大國際智權股份有限公司</v>
      </c>
      <c r="C237" s="3"/>
    </row>
    <row r="238">
      <c r="A238" s="2" t="str">
        <f>IFERROR(__xludf.DUMMYFUNCTION("""COMPUTED_VALUE"""),"B0399")</f>
        <v>B0399</v>
      </c>
      <c r="B238" s="3" t="str">
        <f>IFERROR(__xludf.DUMMYFUNCTION("""COMPUTED_VALUE"""),"國家衛生研究院/ 創新育成中心")</f>
        <v>國家衛生研究院/ 創新育成中心</v>
      </c>
      <c r="C238" s="3"/>
    </row>
    <row r="239">
      <c r="A239" s="2" t="str">
        <f>IFERROR(__xludf.DUMMYFUNCTION("""COMPUTED_VALUE"""),"B0400")</f>
        <v>B0400</v>
      </c>
      <c r="B239" s="3" t="str">
        <f>IFERROR(__xludf.DUMMYFUNCTION("""COMPUTED_VALUE"""),"SparkLabs Taiwan 斯伯克國際創業投資有限公司")</f>
        <v>SparkLabs Taiwan 斯伯克國際創業投資有限公司</v>
      </c>
      <c r="C239" s="3"/>
    </row>
    <row r="240">
      <c r="A240" s="2" t="str">
        <f>IFERROR(__xludf.DUMMYFUNCTION("""COMPUTED_VALUE"""),"B0402")</f>
        <v>B0402</v>
      </c>
      <c r="B240" s="3" t="str">
        <f>IFERROR(__xludf.DUMMYFUNCTION("""COMPUTED_VALUE"""),"Muse Builder")</f>
        <v>Muse Builder</v>
      </c>
      <c r="C240" s="3"/>
    </row>
    <row r="241">
      <c r="A241" s="2" t="str">
        <f>IFERROR(__xludf.DUMMYFUNCTION("""COMPUTED_VALUE"""),"B0442")</f>
        <v>B0442</v>
      </c>
      <c r="B241" s="3" t="str">
        <f>IFERROR(__xludf.DUMMYFUNCTION("""COMPUTED_VALUE"""),"聯合創新加速器")</f>
        <v>聯合創新加速器</v>
      </c>
      <c r="C241" s="3"/>
    </row>
    <row r="242">
      <c r="A242" s="2" t="str">
        <f>IFERROR(__xludf.DUMMYFUNCTION("""COMPUTED_VALUE"""),"B0446")</f>
        <v>B0446</v>
      </c>
      <c r="B242" s="3" t="str">
        <f>IFERROR(__xludf.DUMMYFUNCTION("""COMPUTED_VALUE"""),"SparkLabs Taiwan 斯伯克國際創業投資有限公司")</f>
        <v>SparkLabs Taiwan 斯伯克國際創業投資有限公司</v>
      </c>
      <c r="C242" s="3"/>
    </row>
    <row r="243">
      <c r="A243" s="2" t="str">
        <f>IFERROR(__xludf.DUMMYFUNCTION("""COMPUTED_VALUE"""),"B0455")</f>
        <v>B0455</v>
      </c>
      <c r="B243" s="3" t="str">
        <f>IFERROR(__xludf.DUMMYFUNCTION("""COMPUTED_VALUE"""),"比翼生醫")</f>
        <v>比翼生醫</v>
      </c>
      <c r="C243" s="3"/>
    </row>
    <row r="244">
      <c r="A244" s="2" t="str">
        <f>IFERROR(__xludf.DUMMYFUNCTION("""COMPUTED_VALUE"""),"B0462")</f>
        <v>B0462</v>
      </c>
      <c r="B244" s="3" t="str">
        <f>IFERROR(__xludf.DUMMYFUNCTION("""COMPUTED_VALUE"""),"Mosaic Venture Lab 宇斻管理顧問股份有限公司")</f>
        <v>Mosaic Venture Lab 宇斻管理顧問股份有限公司</v>
      </c>
      <c r="C244" s="3"/>
    </row>
    <row r="245">
      <c r="A245" s="2" t="str">
        <f>IFERROR(__xludf.DUMMYFUNCTION("""COMPUTED_VALUE"""),"B0467")</f>
        <v>B0467</v>
      </c>
      <c r="B245" s="3" t="str">
        <f>IFERROR(__xludf.DUMMYFUNCTION("""COMPUTED_VALUE"""),"SparkLabs Taiwan 斯伯克國際創業投資有限公司")</f>
        <v>SparkLabs Taiwan 斯伯克國際創業投資有限公司</v>
      </c>
      <c r="C245" s="3"/>
    </row>
    <row r="246">
      <c r="A246" s="2" t="str">
        <f>IFERROR(__xludf.DUMMYFUNCTION("""COMPUTED_VALUE"""),"B0479")</f>
        <v>B0479</v>
      </c>
      <c r="B246" s="3" t="str">
        <f>IFERROR(__xludf.DUMMYFUNCTION("""COMPUTED_VALUE"""),"SparkLabs Taiwan 斯伯克國際創業投資有限公司")</f>
        <v>SparkLabs Taiwan 斯伯克國際創業投資有限公司</v>
      </c>
      <c r="C246" s="3"/>
    </row>
    <row r="247">
      <c r="A247" s="2" t="str">
        <f>IFERROR(__xludf.DUMMYFUNCTION("""COMPUTED_VALUE"""),"B0482")</f>
        <v>B0482</v>
      </c>
      <c r="B247" s="3" t="str">
        <f>IFERROR(__xludf.DUMMYFUNCTION("""COMPUTED_VALUE"""),"SparkLabs Taiwan 斯伯克國際創業投資有限公司")</f>
        <v>SparkLabs Taiwan 斯伯克國際創業投資有限公司</v>
      </c>
      <c r="C247" s="3"/>
    </row>
    <row r="248">
      <c r="A248" s="2" t="str">
        <f>IFERROR(__xludf.DUMMYFUNCTION("""COMPUTED_VALUE"""),"B0485")</f>
        <v>B0485</v>
      </c>
      <c r="B248" s="3" t="str">
        <f>IFERROR(__xludf.DUMMYFUNCTION("""COMPUTED_VALUE"""),"SparkLabs Taiwan 斯伯克國際創業投資有限公司")</f>
        <v>SparkLabs Taiwan 斯伯克國際創業投資有限公司</v>
      </c>
      <c r="C248" s="3"/>
    </row>
    <row r="249">
      <c r="A249" s="2" t="str">
        <f>IFERROR(__xludf.DUMMYFUNCTION("""COMPUTED_VALUE"""),"B0486")</f>
        <v>B0486</v>
      </c>
      <c r="B249" s="3" t="str">
        <f>IFERROR(__xludf.DUMMYFUNCTION("""COMPUTED_VALUE"""),"Garage+")</f>
        <v>Garage+</v>
      </c>
      <c r="C249" s="3"/>
    </row>
    <row r="250">
      <c r="A250" s="2" t="str">
        <f>IFERROR(__xludf.DUMMYFUNCTION("""COMPUTED_VALUE"""),"B0490")</f>
        <v>B0490</v>
      </c>
      <c r="B250" s="3" t="str">
        <f>IFERROR(__xludf.DUMMYFUNCTION("""COMPUTED_VALUE"""),"遠邦國際品牌CrossBond")</f>
        <v>遠邦國際品牌CrossBond</v>
      </c>
      <c r="C250" s="3"/>
    </row>
    <row r="251">
      <c r="A251" s="2" t="str">
        <f>IFERROR(__xludf.DUMMYFUNCTION("""COMPUTED_VALUE"""),"B0492")</f>
        <v>B0492</v>
      </c>
      <c r="B251" s="3" t="str">
        <f>IFERROR(__xludf.DUMMYFUNCTION("""COMPUTED_VALUE"""),"Garage+")</f>
        <v>Garage+</v>
      </c>
      <c r="C251" s="3"/>
    </row>
    <row r="252">
      <c r="A252" s="2" t="str">
        <f>IFERROR(__xludf.DUMMYFUNCTION("""COMPUTED_VALUE"""),"B0517")</f>
        <v>B0517</v>
      </c>
      <c r="B252" s="3" t="str">
        <f>IFERROR(__xludf.DUMMYFUNCTION("""COMPUTED_VALUE"""),"尚未報名/媒合中")</f>
        <v>尚未報名/媒合中</v>
      </c>
      <c r="C252" s="3"/>
    </row>
    <row r="253">
      <c r="A253" s="2" t="str">
        <f>IFERROR(__xludf.DUMMYFUNCTION("""COMPUTED_VALUE"""),"B0533")</f>
        <v>B0533</v>
      </c>
      <c r="B253" s="3" t="str">
        <f>IFERROR(__xludf.DUMMYFUNCTION("""COMPUTED_VALUE"""),"SparkLabs Taiwan 斯伯克國際創業投資有限公司")</f>
        <v>SparkLabs Taiwan 斯伯克國際創業投資有限公司</v>
      </c>
      <c r="C253" s="3"/>
    </row>
    <row r="254">
      <c r="A254" s="2" t="str">
        <f>IFERROR(__xludf.DUMMYFUNCTION("""COMPUTED_VALUE"""),"B0534")</f>
        <v>B0534</v>
      </c>
      <c r="B254" s="3" t="str">
        <f>IFERROR(__xludf.DUMMYFUNCTION("""COMPUTED_VALUE"""),"尚未報名/媒合中")</f>
        <v>尚未報名/媒合中</v>
      </c>
      <c r="C254" s="3"/>
    </row>
    <row r="255">
      <c r="A255" s="2" t="str">
        <f>IFERROR(__xludf.DUMMYFUNCTION("""COMPUTED_VALUE"""),"B0535")</f>
        <v>B0535</v>
      </c>
      <c r="B255" s="3" t="str">
        <f>IFERROR(__xludf.DUMMYFUNCTION("""COMPUTED_VALUE"""),"聯合創新加速器")</f>
        <v>聯合創新加速器</v>
      </c>
      <c r="C255" s="3"/>
    </row>
    <row r="256">
      <c r="A256" s="2" t="str">
        <f>IFERROR(__xludf.DUMMYFUNCTION("""COMPUTED_VALUE"""),"B0536")</f>
        <v>B0536</v>
      </c>
      <c r="B256" s="3" t="str">
        <f>IFERROR(__xludf.DUMMYFUNCTION("""COMPUTED_VALUE"""),"比翼生醫")</f>
        <v>比翼生醫</v>
      </c>
      <c r="C256" s="3"/>
    </row>
    <row r="257">
      <c r="A257" s="2" t="str">
        <f>IFERROR(__xludf.DUMMYFUNCTION("""COMPUTED_VALUE"""),"B0540")</f>
        <v>B0540</v>
      </c>
      <c r="B257" s="3" t="str">
        <f>IFERROR(__xludf.DUMMYFUNCTION("""COMPUTED_VALUE"""),"資誠聯合會計師事務所")</f>
        <v>資誠聯合會計師事務所</v>
      </c>
      <c r="C257" s="3"/>
    </row>
    <row r="258">
      <c r="A258" s="2" t="str">
        <f>IFERROR(__xludf.DUMMYFUNCTION("""COMPUTED_VALUE"""),"B0565")</f>
        <v>B0565</v>
      </c>
      <c r="B258" s="3" t="str">
        <f>IFERROR(__xludf.DUMMYFUNCTION("""COMPUTED_VALUE"""),"安永聯合會計師事務所")</f>
        <v>安永聯合會計師事務所</v>
      </c>
      <c r="C258" s="3"/>
    </row>
    <row r="259">
      <c r="A259" s="2" t="str">
        <f>IFERROR(__xludf.DUMMYFUNCTION("""COMPUTED_VALUE"""),"B0567")</f>
        <v>B0567</v>
      </c>
      <c r="B259" s="3" t="str">
        <f>IFERROR(__xludf.DUMMYFUNCTION("""COMPUTED_VALUE"""),"SparkLabs Taiwan 斯伯克國際創業投資有限公司")</f>
        <v>SparkLabs Taiwan 斯伯克國際創業投資有限公司</v>
      </c>
      <c r="C259" s="3"/>
    </row>
    <row r="260">
      <c r="A260" s="2" t="str">
        <f>IFERROR(__xludf.DUMMYFUNCTION("""COMPUTED_VALUE"""),"B0583")</f>
        <v>B0583</v>
      </c>
      <c r="B260" s="3" t="str">
        <f>IFERROR(__xludf.DUMMYFUNCTION("""COMPUTED_VALUE"""),"尚未報名/媒合中")</f>
        <v>尚未報名/媒合中</v>
      </c>
      <c r="C260" s="3"/>
    </row>
    <row r="261">
      <c r="A261" s="2" t="str">
        <f>IFERROR(__xludf.DUMMYFUNCTION("""COMPUTED_VALUE"""),"B0604")</f>
        <v>B0604</v>
      </c>
      <c r="B261" s="3" t="str">
        <f>IFERROR(__xludf.DUMMYFUNCTION("""COMPUTED_VALUE"""),"資誠聯合會計師事務所")</f>
        <v>資誠聯合會計師事務所</v>
      </c>
      <c r="C261" s="3"/>
    </row>
    <row r="262">
      <c r="A262" s="2" t="str">
        <f>IFERROR(__xludf.DUMMYFUNCTION("""COMPUTED_VALUE"""),"B0606")</f>
        <v>B0606</v>
      </c>
      <c r="B262" s="3" t="str">
        <f>IFERROR(__xludf.DUMMYFUNCTION("""COMPUTED_VALUE"""),"SparkLabs Taiwan 斯伯克國際創業投資有限公司")</f>
        <v>SparkLabs Taiwan 斯伯克國際創業投資有限公司</v>
      </c>
      <c r="C262" s="3"/>
    </row>
    <row r="263">
      <c r="A263" s="2" t="str">
        <f>IFERROR(__xludf.DUMMYFUNCTION("""COMPUTED_VALUE"""),"B0607")</f>
        <v>B0607</v>
      </c>
      <c r="B263" s="3" t="str">
        <f>IFERROR(__xludf.DUMMYFUNCTION("""COMPUTED_VALUE"""),"扶田資本股份有限公司")</f>
        <v>扶田資本股份有限公司</v>
      </c>
      <c r="C263" s="3"/>
    </row>
    <row r="264">
      <c r="A264" s="2" t="str">
        <f>IFERROR(__xludf.DUMMYFUNCTION("""COMPUTED_VALUE"""),"B0618")</f>
        <v>B0618</v>
      </c>
      <c r="B264" s="3" t="str">
        <f>IFERROR(__xludf.DUMMYFUNCTION("""COMPUTED_VALUE"""),"好食好事加速器")</f>
        <v>好食好事加速器</v>
      </c>
      <c r="C264" s="3"/>
    </row>
    <row r="265">
      <c r="A265" s="2" t="str">
        <f>IFERROR(__xludf.DUMMYFUNCTION("""COMPUTED_VALUE"""),"B0619")</f>
        <v>B0619</v>
      </c>
      <c r="B265" s="3" t="str">
        <f>IFERROR(__xludf.DUMMYFUNCTION("""COMPUTED_VALUE"""),"酷日國際有限公司")</f>
        <v>酷日國際有限公司</v>
      </c>
      <c r="C265" s="3"/>
    </row>
    <row r="266">
      <c r="A266" s="2" t="str">
        <f>IFERROR(__xludf.DUMMYFUNCTION("""COMPUTED_VALUE"""),"B0651")</f>
        <v>B0651</v>
      </c>
      <c r="B266" s="3" t="str">
        <f>IFERROR(__xludf.DUMMYFUNCTION("""COMPUTED_VALUE"""),"台灣智慧雲端服務股份有限公司（台智雲）")</f>
        <v>台灣智慧雲端服務股份有限公司（台智雲）</v>
      </c>
      <c r="C266" s="3"/>
    </row>
    <row r="267">
      <c r="A267" s="2" t="str">
        <f>IFERROR(__xludf.DUMMYFUNCTION("""COMPUTED_VALUE"""),"B0652")</f>
        <v>B0652</v>
      </c>
      <c r="B267" s="3" t="str">
        <f>IFERROR(__xludf.DUMMYFUNCTION("""COMPUTED_VALUE"""),"尚未報名/媒合中")</f>
        <v>尚未報名/媒合中</v>
      </c>
      <c r="C267" s="3"/>
    </row>
    <row r="268">
      <c r="A268" s="2" t="str">
        <f>IFERROR(__xludf.DUMMYFUNCTION("""COMPUTED_VALUE"""),"B0653")</f>
        <v>B0653</v>
      </c>
      <c r="B268" s="3" t="str">
        <f>IFERROR(__xludf.DUMMYFUNCTION("""COMPUTED_VALUE"""),"SparkLabs Taiwan 斯伯克國際創業投資有限公司")</f>
        <v>SparkLabs Taiwan 斯伯克國際創業投資有限公司</v>
      </c>
      <c r="C268" s="3"/>
    </row>
    <row r="269">
      <c r="A269" s="2" t="str">
        <f>IFERROR(__xludf.DUMMYFUNCTION("""COMPUTED_VALUE"""),"B0672")</f>
        <v>B0672</v>
      </c>
      <c r="B269" s="3" t="str">
        <f>IFERROR(__xludf.DUMMYFUNCTION("""COMPUTED_VALUE"""),"台灣智慧雲端服務股份有限公司（台智雲）")</f>
        <v>台灣智慧雲端服務股份有限公司（台智雲）</v>
      </c>
      <c r="C269" s="3"/>
    </row>
    <row r="270">
      <c r="A270" s="2" t="str">
        <f>IFERROR(__xludf.DUMMYFUNCTION("""COMPUTED_VALUE"""),"B0679")</f>
        <v>B0679</v>
      </c>
      <c r="B270" s="3" t="str">
        <f>IFERROR(__xludf.DUMMYFUNCTION("""COMPUTED_VALUE"""),"Garage+")</f>
        <v>Garage+</v>
      </c>
      <c r="C270" s="3"/>
    </row>
    <row r="271">
      <c r="A271" s="2" t="str">
        <f>IFERROR(__xludf.DUMMYFUNCTION("""COMPUTED_VALUE"""),"B0703")</f>
        <v>B0703</v>
      </c>
      <c r="B271" s="3" t="str">
        <f>IFERROR(__xludf.DUMMYFUNCTION("""COMPUTED_VALUE"""),"SparkLabs Taiwan 斯伯克國際創業投資有限公司")</f>
        <v>SparkLabs Taiwan 斯伯克國際創業投資有限公司</v>
      </c>
      <c r="C271" s="3"/>
    </row>
    <row r="272">
      <c r="A272" s="2" t="str">
        <f>IFERROR(__xludf.DUMMYFUNCTION("""COMPUTED_VALUE"""),"B0709")</f>
        <v>B0709</v>
      </c>
      <c r="B272" s="3" t="str">
        <f>IFERROR(__xludf.DUMMYFUNCTION("""COMPUTED_VALUE"""),"安永聯合會計師事務所")</f>
        <v>安永聯合會計師事務所</v>
      </c>
      <c r="C272" s="3"/>
    </row>
    <row r="273">
      <c r="A273" s="2" t="str">
        <f>IFERROR(__xludf.DUMMYFUNCTION("""COMPUTED_VALUE"""),"B0718")</f>
        <v>B0718</v>
      </c>
      <c r="B273" s="3" t="str">
        <f>IFERROR(__xludf.DUMMYFUNCTION("""COMPUTED_VALUE"""),"遠邦國際品牌CrossBond")</f>
        <v>遠邦國際品牌CrossBond</v>
      </c>
      <c r="C273" s="3"/>
    </row>
    <row r="274">
      <c r="A274" s="2" t="str">
        <f>IFERROR(__xludf.DUMMYFUNCTION("""COMPUTED_VALUE"""),"B0735")</f>
        <v>B0735</v>
      </c>
      <c r="B274" s="3" t="str">
        <f>IFERROR(__xludf.DUMMYFUNCTION("""COMPUTED_VALUE"""),"Mighty Net(邁特創新基地)")</f>
        <v>Mighty Net(邁特創新基地)</v>
      </c>
      <c r="C274" s="3"/>
    </row>
    <row r="275">
      <c r="A275" s="2" t="str">
        <f>IFERROR(__xludf.DUMMYFUNCTION("""COMPUTED_VALUE"""),"B0768")</f>
        <v>B0768</v>
      </c>
      <c r="B275" s="3"/>
      <c r="C275" s="3"/>
    </row>
    <row r="276">
      <c r="A276" s="2" t="str">
        <f>IFERROR(__xludf.DUMMYFUNCTION("""COMPUTED_VALUE"""),"B0788")</f>
        <v>B0788</v>
      </c>
      <c r="B276" s="3" t="str">
        <f>IFERROR(__xludf.DUMMYFUNCTION("""COMPUTED_VALUE"""),"聯合創新加速器")</f>
        <v>聯合創新加速器</v>
      </c>
      <c r="C276" s="3"/>
    </row>
    <row r="277">
      <c r="A277" s="2" t="str">
        <f>IFERROR(__xludf.DUMMYFUNCTION("""COMPUTED_VALUE"""),"B0824")</f>
        <v>B0824</v>
      </c>
      <c r="B277" s="3" t="str">
        <f>IFERROR(__xludf.DUMMYFUNCTION("""COMPUTED_VALUE"""),"好食好事加速器")</f>
        <v>好食好事加速器</v>
      </c>
      <c r="C277" s="3"/>
    </row>
    <row r="278">
      <c r="A278" s="2" t="str">
        <f>IFERROR(__xludf.DUMMYFUNCTION("""COMPUTED_VALUE"""),"B0852")</f>
        <v>B0852</v>
      </c>
      <c r="B278" s="3" t="str">
        <f>IFERROR(__xludf.DUMMYFUNCTION("""COMPUTED_VALUE"""),"好食好事加速器")</f>
        <v>好食好事加速器</v>
      </c>
      <c r="C278" s="3"/>
    </row>
    <row r="279">
      <c r="A279" s="2" t="str">
        <f>IFERROR(__xludf.DUMMYFUNCTION("""COMPUTED_VALUE"""),"B0901")</f>
        <v>B0901</v>
      </c>
      <c r="B279" s="3" t="str">
        <f>IFERROR(__xludf.DUMMYFUNCTION("""COMPUTED_VALUE"""),"台灣智慧雲端服務股份有限公司（台智雲）")</f>
        <v>台灣智慧雲端服務股份有限公司（台智雲）</v>
      </c>
      <c r="C279" s="3"/>
    </row>
    <row r="280">
      <c r="A280" s="2" t="str">
        <f>IFERROR(__xludf.DUMMYFUNCTION("""COMPUTED_VALUE"""),"B0905")</f>
        <v>B0905</v>
      </c>
      <c r="B280" s="3" t="str">
        <f>IFERROR(__xludf.DUMMYFUNCTION("""COMPUTED_VALUE"""),"安永聯合會計師事務所")</f>
        <v>安永聯合會計師事務所</v>
      </c>
      <c r="C280" s="3"/>
    </row>
    <row r="281">
      <c r="A281" s="2" t="str">
        <f>IFERROR(__xludf.DUMMYFUNCTION("""COMPUTED_VALUE"""),"B0911")</f>
        <v>B0911</v>
      </c>
      <c r="B281" s="3" t="str">
        <f>IFERROR(__xludf.DUMMYFUNCTION("""COMPUTED_VALUE"""),"比翼生醫")</f>
        <v>比翼生醫</v>
      </c>
      <c r="C281" s="3"/>
    </row>
    <row r="282">
      <c r="A282" s="2" t="str">
        <f>IFERROR(__xludf.DUMMYFUNCTION("""COMPUTED_VALUE"""),"B0914")</f>
        <v>B0914</v>
      </c>
      <c r="B282" s="3"/>
      <c r="C282" s="3"/>
    </row>
    <row r="283">
      <c r="A283" s="2" t="str">
        <f>IFERROR(__xludf.DUMMYFUNCTION("""COMPUTED_VALUE"""),"B0926")</f>
        <v>B0926</v>
      </c>
      <c r="B283" s="3" t="str">
        <f>IFERROR(__xludf.DUMMYFUNCTION("""COMPUTED_VALUE"""),"SparkLabs Taiwan 斯伯克國際創業投資有限公司")</f>
        <v>SparkLabs Taiwan 斯伯克國際創業投資有限公司</v>
      </c>
      <c r="C283" s="3"/>
    </row>
    <row r="284">
      <c r="A284" s="2" t="str">
        <f>IFERROR(__xludf.DUMMYFUNCTION("""COMPUTED_VALUE"""),"B0935")</f>
        <v>B0935</v>
      </c>
      <c r="B284" s="3" t="str">
        <f>IFERROR(__xludf.DUMMYFUNCTION("""COMPUTED_VALUE"""),"比翼生醫")</f>
        <v>比翼生醫</v>
      </c>
      <c r="C284" s="3"/>
    </row>
    <row r="285">
      <c r="A285" s="2" t="str">
        <f>IFERROR(__xludf.DUMMYFUNCTION("""COMPUTED_VALUE"""),"B0943")</f>
        <v>B0943</v>
      </c>
      <c r="B285" s="3"/>
      <c r="C285" s="3"/>
    </row>
    <row r="286">
      <c r="A286" s="2" t="str">
        <f>IFERROR(__xludf.DUMMYFUNCTION("""COMPUTED_VALUE"""),"B0962")</f>
        <v>B0962</v>
      </c>
      <c r="B286" s="3" t="str">
        <f>IFERROR(__xludf.DUMMYFUNCTION("""COMPUTED_VALUE"""),"資誠聯合會計師事務所")</f>
        <v>資誠聯合會計師事務所</v>
      </c>
      <c r="C286" s="3"/>
    </row>
    <row r="287">
      <c r="A287" s="2" t="str">
        <f>IFERROR(__xludf.DUMMYFUNCTION("""COMPUTED_VALUE"""),"B0973")</f>
        <v>B0973</v>
      </c>
      <c r="B287" s="3" t="str">
        <f>IFERROR(__xludf.DUMMYFUNCTION("""COMPUTED_VALUE"""),"SparkLabs Taiwan 斯伯克國際創業投資有限公司")</f>
        <v>SparkLabs Taiwan 斯伯克國際創業投資有限公司</v>
      </c>
      <c r="C287" s="3"/>
    </row>
    <row r="288">
      <c r="A288" s="2" t="str">
        <f>IFERROR(__xludf.DUMMYFUNCTION("""COMPUTED_VALUE"""),"B0976")</f>
        <v>B0976</v>
      </c>
      <c r="B288" s="3" t="str">
        <f>IFERROR(__xludf.DUMMYFUNCTION("""COMPUTED_VALUE"""),"Garage+")</f>
        <v>Garage+</v>
      </c>
      <c r="C288" s="3"/>
    </row>
    <row r="289">
      <c r="A289" s="2" t="str">
        <f>IFERROR(__xludf.DUMMYFUNCTION("""COMPUTED_VALUE"""),"B1009")</f>
        <v>B1009</v>
      </c>
      <c r="B289" s="3" t="str">
        <f>IFERROR(__xludf.DUMMYFUNCTION("""COMPUTED_VALUE"""),"Garage+")</f>
        <v>Garage+</v>
      </c>
      <c r="C289" s="3"/>
    </row>
    <row r="290">
      <c r="A290" s="2" t="str">
        <f>IFERROR(__xludf.DUMMYFUNCTION("""COMPUTED_VALUE"""),"B1021")</f>
        <v>B1021</v>
      </c>
      <c r="B290" s="3" t="str">
        <f>IFERROR(__xludf.DUMMYFUNCTION("""COMPUTED_VALUE"""),"好食好事加速器")</f>
        <v>好食好事加速器</v>
      </c>
      <c r="C290" s="3"/>
    </row>
    <row r="291">
      <c r="A291" s="2" t="str">
        <f>IFERROR(__xludf.DUMMYFUNCTION("""COMPUTED_VALUE"""),"B1053")</f>
        <v>B1053</v>
      </c>
      <c r="B291" s="3" t="str">
        <f>IFERROR(__xludf.DUMMYFUNCTION("""COMPUTED_VALUE"""),"國家衛生研究院/ 創新育成中心")</f>
        <v>國家衛生研究院/ 創新育成中心</v>
      </c>
      <c r="C291" s="3"/>
    </row>
    <row r="292">
      <c r="A292" s="2" t="str">
        <f>IFERROR(__xludf.DUMMYFUNCTION("""COMPUTED_VALUE"""),"B1063")</f>
        <v>B1063</v>
      </c>
      <c r="B292" s="3"/>
      <c r="C292" s="3"/>
    </row>
    <row r="293">
      <c r="A293" s="2" t="str">
        <f>IFERROR(__xludf.DUMMYFUNCTION("""COMPUTED_VALUE"""),"B1085")</f>
        <v>B1085</v>
      </c>
      <c r="B293" s="3" t="str">
        <f>IFERROR(__xludf.DUMMYFUNCTION("""COMPUTED_VALUE"""),"SparkLabs Taiwan 斯伯克國際創業投資有限公司")</f>
        <v>SparkLabs Taiwan 斯伯克國際創業投資有限公司</v>
      </c>
      <c r="C293" s="3"/>
    </row>
    <row r="294">
      <c r="A294" s="2" t="str">
        <f>IFERROR(__xludf.DUMMYFUNCTION("""COMPUTED_VALUE"""),"B1102")</f>
        <v>B1102</v>
      </c>
      <c r="B294" s="3" t="str">
        <f>IFERROR(__xludf.DUMMYFUNCTION("""COMPUTED_VALUE"""),"SparkLabs Taiwan 斯伯克國際創業投資有限公司")</f>
        <v>SparkLabs Taiwan 斯伯克國際創業投資有限公司</v>
      </c>
      <c r="C294" s="3"/>
    </row>
    <row r="295">
      <c r="A295" s="2" t="str">
        <f>IFERROR(__xludf.DUMMYFUNCTION("""COMPUTED_VALUE"""),"B1120")</f>
        <v>B1120</v>
      </c>
      <c r="B295" s="3" t="str">
        <f>IFERROR(__xludf.DUMMYFUNCTION("""COMPUTED_VALUE"""),"Garage+")</f>
        <v>Garage+</v>
      </c>
      <c r="C295" s="3"/>
    </row>
    <row r="296">
      <c r="A296" s="2" t="str">
        <f>IFERROR(__xludf.DUMMYFUNCTION("""COMPUTED_VALUE"""),"B1133")</f>
        <v>B1133</v>
      </c>
      <c r="B296" s="3" t="str">
        <f>IFERROR(__xludf.DUMMYFUNCTION("""COMPUTED_VALUE"""),"StarFab (豪覓管理顧問股份有限公司)")</f>
        <v>StarFab (豪覓管理顧問股份有限公司)</v>
      </c>
      <c r="C296" s="3"/>
    </row>
    <row r="297">
      <c r="A297" s="2" t="str">
        <f>IFERROR(__xludf.DUMMYFUNCTION("""COMPUTED_VALUE"""),"B1189")</f>
        <v>B1189</v>
      </c>
      <c r="B297" s="3" t="str">
        <f>IFERROR(__xludf.DUMMYFUNCTION("""COMPUTED_VALUE"""),"SparkLabs Taiwan 斯伯克國際創業投資有限公司")</f>
        <v>SparkLabs Taiwan 斯伯克國際創業投資有限公司</v>
      </c>
      <c r="C297" s="3"/>
    </row>
    <row r="298">
      <c r="A298" s="2" t="str">
        <f>IFERROR(__xludf.DUMMYFUNCTION("""COMPUTED_VALUE"""),"B1196")</f>
        <v>B1196</v>
      </c>
      <c r="B298" s="3" t="str">
        <f>IFERROR(__xludf.DUMMYFUNCTION("""COMPUTED_VALUE"""),"扶田資本股份有限公司")</f>
        <v>扶田資本股份有限公司</v>
      </c>
      <c r="C298" s="3"/>
    </row>
    <row r="299">
      <c r="A299" s="2" t="str">
        <f>IFERROR(__xludf.DUMMYFUNCTION("""COMPUTED_VALUE"""),"B1203")</f>
        <v>B1203</v>
      </c>
      <c r="B299" s="3" t="str">
        <f>IFERROR(__xludf.DUMMYFUNCTION("""COMPUTED_VALUE"""),"尚未報名/媒合中")</f>
        <v>尚未報名/媒合中</v>
      </c>
      <c r="C299" s="3"/>
    </row>
    <row r="300">
      <c r="A300" s="2" t="str">
        <f>IFERROR(__xludf.DUMMYFUNCTION("""COMPUTED_VALUE"""),"B1207")</f>
        <v>B1207</v>
      </c>
      <c r="B300" s="3" t="str">
        <f>IFERROR(__xludf.DUMMYFUNCTION("""COMPUTED_VALUE"""),"遠邦國際品牌CrossBond")</f>
        <v>遠邦國際品牌CrossBond</v>
      </c>
      <c r="C300" s="3"/>
    </row>
    <row r="301">
      <c r="A301" s="2" t="str">
        <f>IFERROR(__xludf.DUMMYFUNCTION("""COMPUTED_VALUE"""),"B1255")</f>
        <v>B1255</v>
      </c>
      <c r="B301" s="3" t="str">
        <f>IFERROR(__xludf.DUMMYFUNCTION("""COMPUTED_VALUE"""),"酷日國際有限公司")</f>
        <v>酷日國際有限公司</v>
      </c>
      <c r="C301" s="3"/>
    </row>
    <row r="302">
      <c r="A302" s="3"/>
      <c r="B302" s="3"/>
      <c r="C302" s="3"/>
    </row>
  </sheetData>
  <dataValidations>
    <dataValidation type="list" allowBlank="1" showErrorMessage="1" sqref="B2:B302">
      <formula1>"比翼生醫,台灣智慧雲端服務股份有限公司（台智雲）,生物技術開發中心(南港生技育成中心),好食好事加速器,安永聯合會計師事務所,扶田資本股份有限公司,尚未報名/媒合中,活水影響力投資,國立陽明交通大學產業加速器暨專利開發策略中心,國家衛生研究院/ 創新育成中心,博大國際智權股份有限公司,資育股份有限公司,資誠聯合會計師事務所,遠邦國際品牌CrossBond,酷日國際有限公司,聯合創新加速器,購威經濟股份有限公司(智慧高軟),Garage+,Mighty Net(邁特創新基地),Mosaic Venture "&amp;"Lab 宇斻管理顧問股份有限公司,Muse Builder,SparkLabs Taiwan 斯伯克國際創業投資有限公司,StarFab (豪覓管理顧問股份有限公司)"</formula1>
    </dataValidation>
  </dataValidations>
  <drawing r:id="rId1"/>
</worksheet>
</file>